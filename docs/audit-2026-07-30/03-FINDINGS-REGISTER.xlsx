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dings Register" sheetId="1" state="visible" r:id="rId3"/>
    <sheet name="Summary" sheetId="2" state="visible" r:id="rId4"/>
    <sheet name="Top 10 by Expected Cost" sheetId="3" state="visible" r:id="rId5"/>
    <sheet name="Legend" sheetId="4" state="visible" r:id="rId6"/>
  </sheets>
  <definedNames>
    <definedName function="false" hidden="true" localSheetId="0" name="_xlnm._FilterDatabase" vbProcedure="false">'Findings Register'!$A$1:$N$102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<sst xmlns="http://schemas.openxmlformats.org/spreadsheetml/2006/main" count="1251" uniqueCount="635">
  <si>
    <t xml:space="preserve">ID</t>
  </si>
  <si>
    <t xml:space="preserve">Severity</t>
  </si>
  <si>
    <t xml:space="preserve">Section</t>
  </si>
  <si>
    <t xml:space="preserve">Finding</t>
  </si>
  <si>
    <t xml:space="preserve">Location (file:line)</t>
  </si>
  <si>
    <t xml:space="preserve">Impact</t>
  </si>
  <si>
    <t xml:space="preserve">Recommended fix</t>
  </si>
  <si>
    <t xml:space="preserve">Effort</t>
  </si>
  <si>
    <t xml:space="preserve">Stage</t>
  </si>
  <si>
    <t xml:space="preserve">Status</t>
  </si>
  <si>
    <t xml:space="preserve">Owner</t>
  </si>
  <si>
    <t xml:space="preserve">Target date</t>
  </si>
  <si>
    <t xml:space="preserve">Verified</t>
  </si>
  <si>
    <t xml:space="preserve">Notes</t>
  </si>
  <si>
    <t xml:space="preserve">P0-01</t>
  </si>
  <si>
    <t xml:space="preserve">P0</t>
  </si>
  <si>
    <t xml:space="preserve">9 Security</t>
  </si>
  <si>
    <t xml:space="preserve">Live Telegram token public in git history (.env, 6 trees) and in HEAD (data/logs/system.log)</t>
  </si>
  <si>
    <t xml:space="preserve">7dd9527 .env; data/logs/system.log:147</t>
  </si>
  <si>
    <t xml:space="preserve">Attacker can setWebhook to seize the command channel silently (losing /panic), impersonate the bot to the operator, and read commands. Repo is public despite its name.</t>
  </si>
  <si>
    <t xml:space="preserve">Rotate token -&gt; deleteWebhook -&gt; repo private -&gt; untrack artifacts -&gt; git filter-repo. Add log redaction filter.</t>
  </si>
  <si>
    <t xml:space="preserve">2 h</t>
  </si>
  <si>
    <t xml:space="preserve">A</t>
  </si>
  <si>
    <t xml:space="preserve">Open</t>
  </si>
  <si>
    <t xml:space="preserve">No</t>
  </si>
  <si>
    <t xml:space="preserve">ARCH-01</t>
  </si>
  <si>
    <t xml:space="preserve">Critical</t>
  </si>
  <si>
    <t xml:space="preserve">2 Architecture</t>
  </si>
  <si>
    <t xml:space="preserve">No idempotency key on any order; timeout-then-retry can double-fill</t>
  </si>
  <si>
    <t xml:space="preserve">bridge_zmq.py:70; system_controller.py:449</t>
  </si>
  <si>
    <t xml:space="preserve">REQ timeout returns False while the order may be live. magic is a shared constant 88000; only the broker generates a unique ID, after the fill. Neither side can recognise a retry.</t>
  </si>
  <si>
    <t xml:space="preserve">UUID per intent hashed into `comment`; EA-side dedup; on timeout QUERY state, never resend.</t>
  </si>
  <si>
    <t xml:space="preserve">2 d</t>
  </si>
  <si>
    <t xml:space="preserve">B</t>
  </si>
  <si>
    <t xml:space="preserve">ARCH-02</t>
  </si>
  <si>
    <t xml:space="preserve">Bridge protocol has no schema, no version, no sequence numbers</t>
  </si>
  <si>
    <t xml:space="preserve">bridge_zmq.py:57; CLAUDE.md:37</t>
  </si>
  <si>
    <t xml:space="preserve">Untyped dicts both sides. A field rename in Python plus a stale EA binary (manual MetaEditor recompile) disagree silently.</t>
  </si>
  <si>
    <t xml:space="preserve">Versioned message schema validated at the boundary on both sides.</t>
  </si>
  <si>
    <t xml:space="preserve">OBS-01</t>
  </si>
  <si>
    <t xml:space="preserve">7 Observability</t>
  </si>
  <si>
    <t xml:space="preserve">Journal schema cannot validate the live ratchet; soak data accruing now is unusable</t>
  </si>
  <si>
    <t xml:space="preserve">state_manager.py:66,200-205</t>
  </si>
  <si>
    <t xml:space="preserve">No exit reason, no ratchet level at exit, no slippage, no submit/fill timestamps, no commission/swap, no equity snapshot. time_placed and ratchet_level exist in active_orders and are explicitly not copied by archive_trade. DEADLINE-SENSITIVE: closed trades cannot be re-recorded.</t>
  </si>
  <si>
    <t xml:space="preserve">Add columns + a trade_events table appending one row per MODIFY/partial with the heartbeat-observed outcome.</t>
  </si>
  <si>
    <t xml:space="preserve">1 d</t>
  </si>
  <si>
    <t xml:space="preserve">RISK-01</t>
  </si>
  <si>
    <t xml:space="preserve">3 Risk</t>
  </si>
  <si>
    <t xml:space="preserve">Daily drawdown anchor resets on every process restart; no restart cap</t>
  </si>
  <si>
    <t xml:space="preserve">risk_manager.py:51; titan-live.service:29</t>
  </si>
  <si>
    <t xml:space="preserve">day_start_equity is in-memory, re-anchored on the first heartbeat. Restart=on-failure with no StartLimitBurst. Expected loss is 3% x crash count, unbounded, in one day.</t>
  </si>
  <si>
    <t xml:space="preserve">Persist day_start_equity + date to SQLite; restore on boot. Add StartLimitBurst=3, StartLimitIntervalSec=300.</t>
  </si>
  <si>
    <t xml:space="preserve">RISK-02</t>
  </si>
  <si>
    <t xml:space="preserve">Position-count and per-symbol caps are blind to resting pending orders</t>
  </si>
  <si>
    <t xml:space="preserve">exposure.py:92,100; arbiter.py:250</t>
  </si>
  <si>
    <t xml:space="preserve">Both gates receive only filled positions. The only live strategy enters on LIMIT and limits rest up to 12 bars. Caps are unenforced in the book's normal state; only the 5% aggregate cap bites, and it permits 5 commitments on one symbol in one direction.</t>
  </si>
  <si>
    <t xml:space="preserve">Pass current_pending_orders into check_exposure and arbiter._apply_caps.</t>
  </si>
  <si>
    <t xml:space="preserve">1 h</t>
  </si>
  <si>
    <t xml:space="preserve">RISK-10</t>
  </si>
  <si>
    <t xml:space="preserve">Live bars and history bars are timestamped in two different timezones, in the same buffer</t>
  </si>
  <si>
    <t xml:space="preserve">candle_maker.py:113; data_store.py:79</t>
  </si>
  <si>
    <t xml:space="preserve">History via pd.to_datetime(unit='s') = server time; live via datetime.fromtimestamp() = local time. On a UTC+3 host every live bar is 3h displaced. ATR, FVG and swing detection compute across the discontinuity. Invisible on a UTC host.</t>
  </si>
  <si>
    <t xml:space="preserve">datetime.fromtimestamp(ts, tz=utc).replace(tzinfo=None).</t>
  </si>
  <si>
    <t xml:space="preserve">SEC-05</t>
  </si>
  <si>
    <t xml:space="preserve">ZMQ unauthenticated, bound tcp://*, inbound messages never validated</t>
  </si>
  <si>
    <t xml:space="preserve">bridge_zmq.py:25,36,53; risk_manager.py:62; TitanZmq.mqh</t>
  </si>
  <si>
    <t xml:space="preserve">One poisoned HISTORY message sets every trade to hard_max_lots (5.00). Fabricated HEARTBEAT defeats the drawdown breaker and wipes the position view. A PULL peer on :32768 steals half of all MODIFY/CLOSE/CANCEL. Identical damage from a broker misquote, no attacker required.</t>
  </si>
  <si>
    <t xml:space="preserve">Bounds-check update_symbol_specs; bind the specific interface (config already declares host); HMAC every message.</t>
  </si>
  <si>
    <t xml:space="preserve">STRAT-01</t>
  </si>
  <si>
    <t xml:space="preserve">6 Strategy</t>
  </si>
  <si>
    <t xml:space="preserve">Validated exit engine is not the live exit engine; the edge lives entirely in exits</t>
  </si>
  <si>
    <t xml:space="preserve">poc_sb_stops.py:215 vs trade_manager.py:51</t>
  </si>
  <si>
    <t xml:space="preserve">Strategy is -0.122R with fixed exits, +0.194R with ratchet+runner. The validated ratchet is an offline reimplementation; research_run.py has zero ratchet references. Live expectancy is unmeasured and the sign is not guaranteed.</t>
  </si>
  <si>
    <t xml:space="preserve">Extract the ratchet to one pure function; call from TradeManager and research_run; delete replay_managed; re-run the study.</t>
  </si>
  <si>
    <t xml:space="preserve">ARCH-04</t>
  </si>
  <si>
    <t xml:space="preserve">High</t>
  </si>
  <si>
    <t xml:space="preserve">ZMQ bind failures are non-fatal; bot boots with a dead socket</t>
  </si>
  <si>
    <t xml:space="preserve">bridge_zmq.py:26,37,54; :781</t>
  </si>
  <si>
    <t xml:space="preserve">Port held by a stray process or a second instance -&gt; prints, continues, _boot_sequence returns True, hangs forever in _wait_for_bridge_connection.</t>
  </si>
  <si>
    <t xml:space="preserve">Raise on bind failure.</t>
  </si>
  <si>
    <t xml:space="preserve">15 m</t>
  </si>
  <si>
    <t xml:space="preserve">ARCH-05</t>
  </si>
  <si>
    <t xml:space="preserve">Weak ack; no nack taxonomy; no retry policy at all</t>
  </si>
  <si>
    <t xml:space="preserve">bridge_zmq.py:75; system_controller.py:472</t>
  </si>
  <si>
    <t xml:space="preserve">Requote, rejection, insufficient margin and invalid stops all collapse into False. A transient failure is a permanently missed trade, indistinguishable from a permanent rejection.</t>
  </si>
  <si>
    <t xml:space="preserve">Reason codes in the reply; retry requotes only; alert on rejects.</t>
  </si>
  <si>
    <t xml:space="preserve">C</t>
  </si>
  <si>
    <t xml:space="preserve">ARCH-06</t>
  </si>
  <si>
    <t xml:space="preserve">No single-instance lock; two bots can write the same databases</t>
  </si>
  <si>
    <t xml:space="preserve">NOT FOUND in src/; tradebot/core/recovery.py:147</t>
  </si>
  <si>
    <t xml:space="preserve">Instance 2 cannot trade (dead sockets) but does open and can write both SQLite DBs.</t>
  </si>
  <si>
    <t xml:space="preserve">Port recovery.acquire_boot_lock into main.py.</t>
  </si>
  <si>
    <t xml:space="preserve">30 m</t>
  </si>
  <si>
    <t xml:space="preserve">ARCH-07</t>
  </si>
  <si>
    <t xml:space="preserve">No SIGTERM/SIGINT handler; no graceful shutdown anywhere</t>
  </si>
  <si>
    <t xml:space="preserve">src/, main.py (grep: nothing)</t>
  </si>
  <si>
    <t xml:space="preserve">systemctl stop terminates immediately. No cleanup, no state persist, no notification. In-flight orders not awaited. Operator cannot distinguish a stop from a crash.</t>
  </si>
  <si>
    <t xml:space="preserve">loop.add_signal_handler -&gt; stop flag, drain, persist, notify, close.</t>
  </si>
  <si>
    <t xml:space="preserve">CTRL-01</t>
  </si>
  <si>
    <t xml:space="preserve">8 Control</t>
  </si>
  <si>
    <t xml:space="preserve">The two most destructive commands have the weakest guards</t>
  </si>
  <si>
    <t xml:space="preserve">telemetry.py:193,201; :1051</t>
  </si>
  <si>
    <t xml:space="preserve">/panic executes with no confirmation while /closeall (a strict subset) requires one. /resume clears EMERGENCY unconditionally, reversing a panic with one keystroke. /enable X confirm promotes a research strategy guarded by the literal string 'confirm'. The GUI is stricter on all three.</t>
  </si>
  <si>
    <t xml:space="preserve">Latch EMERGENCY behind a typed confirm; typed-id confirm for promotion; leave /panic frictionless but verified.</t>
  </si>
  <si>
    <t xml:space="preserve">4 h</t>
  </si>
  <si>
    <t xml:space="preserve">CTRL-02</t>
  </si>
  <si>
    <t xml:space="preserve">/panic, /closeall and /cancel all report success they have not verified</t>
  </si>
  <si>
    <t xml:space="preserve">system_controller.py:1094-1119</t>
  </si>
  <si>
    <t xml:space="preserve">count is commands enqueued on a fire-and-forget socket, not positions closed. With the EA detached, ZMQ buffers silently and the operator is told they are flat while every position runs. Fails in the direction of standing down during an emergency.</t>
  </si>
  <si>
    <t xml:space="preserve">Wait 1-2 heartbeats; report the OBSERVED position count; escalate if positions remain.</t>
  </si>
  <si>
    <t xml:space="preserve">CTRL-03</t>
  </si>
  <si>
    <t xml:space="preserve">Telegram authorization fails OPEN when TELEGRAM_CHAT_ID is unset</t>
  </si>
  <si>
    <t xml:space="preserve">telemetry.py:36,142-144</t>
  </si>
  <si>
    <t xml:space="preserve">str(None) == 'None' matches an update lacking a from field. A missing config value converts a strict allowlist into an open one. is_active validates only the token, so the bot boots happily in this state.</t>
  </si>
  <si>
    <t xml:space="preserve">Refuse to start without a numeric chat ID; reject updates lacking from.id.</t>
  </si>
  <si>
    <t xml:space="preserve">CTRL-04</t>
  </si>
  <si>
    <t xml:space="preserve">SettingsStore.set accepts any key -&gt; PATCH system.mt5_path -&gt; subprocess.Popen on restart</t>
  </si>
  <si>
    <t xml:space="preserve">settings.py:69,82; system_controller.py:778</t>
  </si>
  <si>
    <t xml:space="preserve">validate() returns None (accept) for unrecognised keys and _set_key creates arbitrary nesting. Combined with SEC-04 (runs as root) this is an authenticated root code-execution chain. The docstring calls the allowlist a safety boundary; it is a live-vs-restart tier selector.</t>
  </si>
  <si>
    <t xml:space="preserve">Reject keys absent from the loaded defaults; deny-list system.*.</t>
  </si>
  <si>
    <t xml:space="preserve">CTRL-07</t>
  </si>
  <si>
    <t xml:space="preserve">Telegram is the only alert channel; no fallback exists</t>
  </si>
  <si>
    <t xml:space="preserve">telemetry.py; health.py</t>
  </si>
  <si>
    <t xml:space="preserve">/healthz and /readyz are pull endpoints on loopback that nobody polls off-box. When Telegram fails the operator goes dark, and that failure is among the likeliest causes of a restart loop.</t>
  </si>
  <si>
    <t xml:space="preserve">Add one out-of-band channel; expose dropped-alert count on /readyz.</t>
  </si>
  <si>
    <t xml:space="preserve">ENTRY-01</t>
  </si>
  <si>
    <t xml:space="preserve">4 Entries/Exits</t>
  </si>
  <si>
    <t xml:space="preserve">EA routes commands by substring search over raw JSON; concatenated frames close the wrong ticket</t>
  </si>
  <si>
    <t xml:space="preserve">EA:252,299,317,326,389</t>
  </si>
  <si>
    <t xml:space="preserve">StringFind(json,'CANCEL') with sequential ifs, and GetJSONLong returns the FIRST ticket in the buffer. Two concatenated frames cancel order 5 and close position 5. Python's own sticky-packet splitter proves concatenation occurs on this link.</t>
  </si>
  <si>
    <t xml:space="preserve">Parse one frame; else-if; validate the action field exactly.</t>
  </si>
  <si>
    <t xml:space="preserve">EXEC-01</t>
  </si>
  <si>
    <t xml:space="preserve">5 Execution</t>
  </si>
  <si>
    <t xml:space="preserve">A network call to api.telegram.org sits in the trading loop, ahead of tick ingestion</t>
  </si>
  <si>
    <t xml:space="preserve">system_controller.py:336; telemetry.py:119</t>
  </si>
  <si>
    <t xml:space="preserve">Up to 3s of stalled tick ingestion every 2s during an outage (~60% of loop time). Already observed repeatedly in the committed log. Feeds OBS-08 -&gt; RISK-01.</t>
  </si>
  <si>
    <t xml:space="preserve">Move poll_commands to its own asyncio.Task.</t>
  </si>
  <si>
    <t xml:space="preserve">EXEC-03</t>
  </si>
  <si>
    <t xml:space="preserve">HTTP status codes never checked; 429s silently drop alerts</t>
  </si>
  <si>
    <t xml:space="preserve">telemetry.py:94-100</t>
  </si>
  <si>
    <t xml:space="preserve">Only requests.RequestException is caught. A 429 returns a normal response, the function returns, the message vanishes. Alerts fail exactly when a burst or error loop makes them most necessary.</t>
  </si>
  <si>
    <t xml:space="preserve">Check status_code; honour retry_after; queue and throttle outbound.</t>
  </si>
  <si>
    <t xml:space="preserve">EXEC-05</t>
  </si>
  <si>
    <t xml:space="preserve">No reconnect-triggered reconciliation; resumes blind for up to 60s</t>
  </si>
  <si>
    <t xml:space="preserve">system_controller.py:322,373</t>
  </si>
  <si>
    <t xml:space="preserve">Reconciliation is purely time-based; the EA reattaching is invisible to Python. After an EA restart (which the EA itself instructs) Titan resumes on a snapshot up to 60s stale.</t>
  </si>
  <si>
    <t xml:space="preserve">Reconcile on heartbeat resumption after a gap.</t>
  </si>
  <si>
    <t xml:space="preserve">EXEC-07</t>
  </si>
  <si>
    <t xml:space="preserve">A frozen price feed with live heartbeats is completely undetected</t>
  </si>
  <si>
    <t xml:space="preserve">EA:84,98; system_controller.py:332</t>
  </si>
  <si>
    <t xml:space="preserve">No ticks -&gt; no candles -&gt; no strategies; heartbeats continue so the 60s watchdog never fires, /readyz stays green, systemd stays happy, and positions are managed off a frozen price.</t>
  </si>
  <si>
    <t xml:space="preserve">Track last_tick_time per symbol; alert/halt on staleness during session hours.</t>
  </si>
  <si>
    <t xml:space="preserve">EXIT-01</t>
  </si>
  <si>
    <t xml:space="preserve">Ratchet state advances before the broker confirms; never verified, never retried</t>
  </si>
  <si>
    <t xml:space="preserve">trade_manager.py:136; system_controller.py:563</t>
  </si>
  <si>
    <t xml:space="preserve">MODIFY goes out fire-and-forget on PUSH; send_command's return is ignored at all three call sites. Titan permanently believes the stop moved to breakeven. The docstring says the outcome is observable in the next heartbeat; nothing observes it.</t>
  </si>
  <si>
    <t xml:space="preserve">Verify against the next heartbeat sl; roll r_level back on mismatch; alert after two failures.</t>
  </si>
  <si>
    <t xml:space="preserve">EXIT-02</t>
  </si>
  <si>
    <t xml:space="preserve">MODIFY + partial dispatched unverified; volume read from a 5s-stale heartbeat</t>
  </si>
  <si>
    <t xml:space="preserve">trade_manager.py:120-122</t>
  </si>
  <si>
    <t xml:space="preserve">Either half can land alone, undetected. The staleness window (5s) exceeds the debounce window (2s), so a partial can be re-sent against an already-reduced position.</t>
  </si>
  <si>
    <t xml:space="preserve">Same verification loop; raise the cooldown above the heartbeat period.</t>
  </si>
  <si>
    <t xml:space="preserve">(with EXIT-01)</t>
  </si>
  <si>
    <t xml:space="preserve">OBS-02</t>
  </si>
  <si>
    <t xml:space="preserve">Every journal write path swallows its own failures; drops counter never read</t>
  </si>
  <si>
    <t xml:space="preserve">state_manager.py:140,166,208; jsonlog.py:33</t>
  </si>
  <si>
    <t xml:space="preserve">Disk-full silently stops journaling while trading continues. audit_logger is except: pass with the diagnostic print commented out. get_day_stats returns zeroed stats on failure, so the nightly report can show a flat day because the query broke.</t>
  </si>
  <si>
    <t xml:space="preserve">Surface write failures to Telegram and /readyz; read the drops counter.</t>
  </si>
  <si>
    <t xml:space="preserve">OBS-05</t>
  </si>
  <si>
    <t xml:space="preserve">No reconciliation of the journal against broker deal history</t>
  </si>
  <si>
    <t xml:space="preserve">NOT FOUND</t>
  </si>
  <si>
    <t xml:space="preserve">reconcile_state compares open tickets only; export_history pulls bars, not deals. Nothing compares Titan's P&amp;L, fill prices or trade count against MT5's own record. This is the mechanism that would have surfaced EXIT-01, EXIT-02 and the partial-fill gap.</t>
  </si>
  <si>
    <t xml:space="preserve">EA GET_DEALS command + nightly comparison script.</t>
  </si>
  <si>
    <t xml:space="preserve">OBS-06</t>
  </si>
  <si>
    <t xml:space="preserve">Token embedded in every request URL; no log redaction anywhere</t>
  </si>
  <si>
    <t xml:space="preserve">telemetry.py:37</t>
  </si>
  <si>
    <t xml:space="preserve">The mechanism that produced the secondary P0 exposure. Any library logging a URL logs the credential. One logging.basicConfig() or one dependency upgrade reinstates it.</t>
  </si>
  <si>
    <t xml:space="preserve">logging.Filter redacting bot\d+:[A-Za-z0-9_-]{30,} on every handler.</t>
  </si>
  <si>
    <t xml:space="preserve">OBS-07</t>
  </si>
  <si>
    <t xml:space="preserve">_readiness uses last-message time, not last-heartbeat; cannot detect alive-but-not-trading</t>
  </si>
  <si>
    <t xml:space="preserve">system_controller.py:605,1041</t>
  </si>
  <si>
    <t xml:space="preserve">last_heartbeat_time is set for EVERY message type including TICK. A frozen feed reads fresh; stopped heartbeats with flowing ticks also read fresh. No condition asks whether a bar has closed.</t>
  </si>
  <si>
    <t xml:space="preserve">Track last_tick_time, last_true_heartbeat_time and last_bar_time separately.</t>
  </si>
  <si>
    <t xml:space="preserve">OBS-09</t>
  </si>
  <si>
    <t xml:space="preserve">No durable audit trail for any Telegram intervention</t>
  </si>
  <si>
    <t xml:space="preserve">telemetry.py:147</t>
  </si>
  <si>
    <t xml:space="preserve">print() to stdout only. /panic, /closeall, /close, /cancel, /enable produce no record in either database or the event journal. The GUI is fully audited; Telegram, the interface used under pressure, is not.</t>
  </si>
  <si>
    <t xml:space="preserve">log_event + event publish per command.</t>
  </si>
  <si>
    <t xml:space="preserve">2 m</t>
  </si>
  <si>
    <t xml:space="preserve">OPS-01</t>
  </si>
  <si>
    <t xml:space="preserve">10 Operations</t>
  </si>
  <si>
    <t xml:space="preserve">No demo/live safeguard of any kind</t>
  </si>
  <si>
    <t xml:space="preserve">Nothing reads ACCOUNT_TRADE_MODE; TITAN_ENV is shipped in .env.example and read by no code. The only separation is which terminal the EA was hand-attached to via a typed InpIP. Point the demo checkout's EA at the live terminal and the demo bot trades live money, silently.</t>
  </si>
  <si>
    <t xml:space="preserve">EA reports trade mode + login in the heartbeat; Python refuses to leave WARMUP on mismatch.</t>
  </si>
  <si>
    <t xml:space="preserve">OPS-02</t>
  </si>
  <si>
    <t xml:space="preserve">There is no CI; run_pr_checks.sh cites a condition that no longer holds</t>
  </si>
  <si>
    <t xml:space="preserve">NO .github; scripts/run_pr_checks.sh:8</t>
  </si>
  <si>
    <t xml:space="preserve">The script states there is no git remote so nothing runs on push. The repo now has a public GitHub remote with 356 commits. A pre-commit secret scan would have made the P0 impossible.</t>
  </si>
  <si>
    <t xml:space="preserve">Workflow: gitleaks + gitignore-collision + unittest + signal parity + pip-audit.</t>
  </si>
  <si>
    <t xml:space="preserve">OPS-03</t>
  </si>
  <si>
    <t xml:space="preserve">ZMQBridge has zero tests; the EA has zero tests and no framework</t>
  </si>
  <si>
    <t xml:space="preserve">grep ZMQBridge tests/ -&gt; nothing</t>
  </si>
  <si>
    <t xml:space="preserve">47 tests on the aggregate risk cap, 0 on the socket that submits every order. 399 LOC of EA plus 1,400 LOC of vendored bindings entirely unverified, requiring manual MetaEditor recompile.</t>
  </si>
  <si>
    <t xml:space="preserve">Mock-peer unit tests for the bridge; MT5 Strategy Tester scripts for the EA.</t>
  </si>
  <si>
    <t xml:space="preserve">OPS-04</t>
  </si>
  <si>
    <t xml:space="preserve">No flatten runbook; no backup of trade_state.db; no tested restore</t>
  </si>
  <si>
    <t xml:space="preserve">docs/runbooks/</t>
  </si>
  <si>
    <t xml:space="preserve">The most important runbook page in any trading system does not exist. No backup of the file holding ratchet state, position record and (post OBS-01) the strategy evidence base.</t>
  </si>
  <si>
    <t xml:space="preserve">Three-tier flatten page; nightly .backup timer; one executed restore drill.</t>
  </si>
  <si>
    <t xml:space="preserve">OPS-05</t>
  </si>
  <si>
    <t xml:space="preserve">No StartLimitBurst; unbounded restart loop</t>
  </si>
  <si>
    <t xml:space="preserve">titan-live.service:29</t>
  </si>
  <si>
    <t xml:space="preserve">Restart=on-failure with RestartSec=10 and no burst limit is the engine behind RISK-01 and OBS-08.</t>
  </si>
  <si>
    <t xml:space="preserve">StartLimitBurst=3, StartLimitIntervalSec=300.</t>
  </si>
  <si>
    <t xml:space="preserve">5 m</t>
  </si>
  <si>
    <t xml:space="preserve">RISK-03</t>
  </si>
  <si>
    <t xml:space="preserve">Correlation filter fails OPEN during warmup, after restart, and on any error</t>
  </si>
  <si>
    <t xml:space="preserve">correlation.py:105,92</t>
  </si>
  <si>
    <t xml:space="preserve">Returns Safe when the matrix is None. Requires &gt;50 H1 bars and &gt;=2 symbols; _update_matrix swallows every exception into a print. The only fail-open control in an otherwise fail-closed codebase.</t>
  </si>
  <si>
    <t xml:space="preserve">Fail closed, or degrade to currency-saturation only.</t>
  </si>
  <si>
    <t xml:space="preserve">RISK-06</t>
  </si>
  <si>
    <t xml:space="preserve">No broker stop-level or freeze-level validation; rejections are silent and unretried</t>
  </si>
  <si>
    <t xml:space="preserve">EA:152; system_controller.py:472</t>
  </si>
  <si>
    <t xml:space="preserve">A symbol whose stop-level exceeds 1.0xATR(H1) will never trade, silently, forever. EA Prints to the Experts tab; reply is a bare ERROR; Python sends no Telegram.</t>
  </si>
  <si>
    <t xml:space="preserve">Send SYMBOL_TRADE_STOPS_LEVEL in specs; validate before send; alert on reject.</t>
  </si>
  <si>
    <t xml:space="preserve">RISK-07</t>
  </si>
  <si>
    <t xml:space="preserve">Ask price is transmitted by the EA and discarded; no spread ceiling exists</t>
  </si>
  <si>
    <t xml:space="preserve">system_controller.py:690; EA:88-90</t>
  </si>
  <si>
    <t xml:space="preserve">All candles are bid-only. A BUY LIMIT priced off a bid-based FVG fills at the ask: systematic long-side bias absent from the backtest (~8% of R on EURUSD H1). Gyroscope's spread filter reads a ctx key that is never set.</t>
  </si>
  <si>
    <t xml:space="preserve">Store msg['a']; add max_spread_atr_frac to _execute_signal; model ask-side fills.</t>
  </si>
  <si>
    <t xml:space="preserve">RISK-08</t>
  </si>
  <si>
    <t xml:space="preserve">Kill switch shares the event loop it is meant to rescue</t>
  </si>
  <si>
    <t xml:space="preserve">system_controller.py:336</t>
  </si>
  <si>
    <t xml:space="preserve">/panic is polled only from inside run(). A wedged loop, a hung send, or a subprocess call makes it unreachable. No out-of-band flatten exists.</t>
  </si>
  <si>
    <t xml:space="preserve">Standalone scripts/flatten.py on its own port, independent of the main loop.</t>
  </si>
  <si>
    <t xml:space="preserve">RISK-09</t>
  </si>
  <si>
    <t xml:space="preserve">EA reports all positions with no magic filter; bot adopts and force-closes manual trades</t>
  </si>
  <si>
    <t xml:space="preserve">EA:180-207; trade_manager.py:82</t>
  </si>
  <si>
    <t xml:space="preserve">Hand-placed positions are Adopted and then ratcheted, partial-closed, and killed by the Risk Guard at -1.5x the bot's own risk budget. A stopless manual trade halts the whole book.</t>
  </si>
  <si>
    <t xml:space="preserve">Magic-filter sync_positions consumers and all three EA command handlers.</t>
  </si>
  <si>
    <t xml:space="preserve">SEC-01</t>
  </si>
  <si>
    <t xml:space="preserve">Zero dependency pinning on the live path; no lockfile</t>
  </si>
  <si>
    <t xml:space="preserve">requirements.txt (0 exact, 15 &gt;=)</t>
  </si>
  <si>
    <t xml:space="preserve">pandas/numpy/pyzmq/pyyaml/pyarrow all float to latest. A pandas minor bump can change resample/corr semantics under CorrelationManager and the H1 resampler. A dependency upgrade can change backtest results with no code change and no record.</t>
  </si>
  <si>
    <t xml:space="preserve">pip-compile to a hashed lock; commit it; pip-audit in CI; record the lock hash in run-cards.</t>
  </si>
  <si>
    <t xml:space="preserve">SEC-02</t>
  </si>
  <si>
    <t xml:space="preserve">HTTP bridge (full order entry) defaults to 0.0.0.0, by default and by documented example</t>
  </si>
  <si>
    <t xml:space="preserve">bridge/app/settings.py:16; .env.example:1; main.py:116</t>
  </si>
  <si>
    <t xml:space="preserve">Order-entry REST API on every interface of the machine holding the live terminal. Also plain string token comparison rather than compare_digest, and no auth-failure throttle. Fail-closed token requirement is correct and credited.</t>
  </si>
  <si>
    <t xml:space="preserve">Default 127.0.0.1; compare_digest; add throttle.</t>
  </si>
  <si>
    <t xml:space="preserve">SEC-04</t>
  </si>
  <si>
    <t xml:space="preserve">Service runs as root; zero hardening directives in either systemd unit</t>
  </si>
  <si>
    <t xml:space="preserve">deploy/systemd/*.service</t>
  </si>
  <si>
    <t xml:space="preserve">No User=, NoNewPrivileges, ProtectSystem, PrivateTmp, ReadWritePaths or StartLimit*. Root while serving FastAPI, listening on three unauthenticated ZMQ sockets, and calling subprocess.Popen on a config-writable path. Escalates CTRL-04 to root RCE.</t>
  </si>
  <si>
    <t xml:space="preserve">User=titan + NoNewPrivileges + ProtectSystem=strict + PrivateTmp + ReadWritePaths + StartLimitBurst.</t>
  </si>
  <si>
    <t xml:space="preserve">STRAT-03</t>
  </si>
  <si>
    <t xml:space="preserve">Spread is charged as a post-hoc cost but never applied to the fill</t>
  </si>
  <si>
    <t xml:space="preserve">backtest_engine.py:68-73,168</t>
  </si>
  <si>
    <t xml:space="preserve">resolve_trade tests SL/TP against raw bid OHLC, so spread cannot affect hit probability. Compounds RISK-07: live is bid-derived and ask-executed; the backtest models neither.</t>
  </si>
  <si>
    <t xml:space="preserve">Adjust fill and trigger prices by spread for longs.</t>
  </si>
  <si>
    <t xml:space="preserve">STRAT-05</t>
  </si>
  <si>
    <t xml:space="preserve">No portfolio simulation; the reported 14R maxDD ignores the 5% concurrent cap</t>
  </si>
  <si>
    <t xml:space="preserve">simulate_signals:137; research_run.py:237</t>
  </si>
  <si>
    <t xml:space="preserve">Both rigs enforce one trade per symbol then pool R. Nothing simulates the count cap, aggregate cap, correlation gate, saturation gate, daily breaker or margin. The pooled +0.194R is the expectancy of a system that does not exist.</t>
  </si>
  <si>
    <t xml:space="preserve">Portfolio-level backtest + Monte Carlo on trade sequence.</t>
  </si>
  <si>
    <t xml:space="preserve">3 d</t>
  </si>
  <si>
    <t xml:space="preserve">ARCH-03</t>
  </si>
  <si>
    <t xml:space="preserve">Medium</t>
  </si>
  <si>
    <t xml:space="preserve">Truncated ZMQ messages silently discarded</t>
  </si>
  <si>
    <t xml:space="preserve">bridge_zmq.py:118</t>
  </si>
  <si>
    <t xml:space="preserve">The sticky-packet splitter breaks on JSONDecodeError and drops the remainder with no log. A truncated HEARTBEAT empties current_open_positions for a cycle.</t>
  </si>
  <si>
    <t xml:space="preserve">Log the discarded remainder; count it.</t>
  </si>
  <si>
    <t xml:space="preserve">ARCH-08</t>
  </si>
  <si>
    <t xml:space="preserve">No config schema validation on the live path (a validated schema exists, unwired)</t>
  </si>
  <si>
    <t xml:space="preserve">config_layer.py:20; tradebot/config/schema.py</t>
  </si>
  <si>
    <t xml:space="preserve">Raw dict, no types, no ranges, no required keys. 490 LOC of pydantic validation with 230 LOC of tests exists in tradebot/ and the live bot does not import it.</t>
  </si>
  <si>
    <t xml:space="preserve">Wire tradebot/config/schema.py into _load_config.</t>
  </si>
  <si>
    <t xml:space="preserve">ARCH-09</t>
  </si>
  <si>
    <t xml:space="preserve">Corrupt overrides.yaml silently reverts to defaults (higher risk)</t>
  </si>
  <si>
    <t xml:space="preserve">config_layer.py:29-34</t>
  </si>
  <si>
    <t xml:space="preserve">If the operator lowered risk_per_trade_pct via the GUI and the file corrupts, the bot resumes at the higher default. Also a denial-of-safety primitive.</t>
  </si>
  <si>
    <t xml:space="preserve">Make an unparseable override fatal.</t>
  </si>
  <si>
    <t xml:space="preserve">ARCH-10</t>
  </si>
  <si>
    <t xml:space="preserve">Production risk path softened with getattr to accommodate test fixtures</t>
  </si>
  <si>
    <t xml:space="preserve">system_controller.py:414,433</t>
  </si>
  <si>
    <t xml:space="preserve">A missing throttle_factor yields risk_mult = 1.0 (silently unthrottled) because tests construct controllers via object.__new__.</t>
  </si>
  <si>
    <t xml:space="preserve">Fix the fixtures; use constructor injection; remove the guards.</t>
  </si>
  <si>
    <t xml:space="preserve">ARCH-11</t>
  </si>
  <si>
    <t xml:space="preserve">_reboot_terminal is a no-op on the documented Linux deployment, called forever</t>
  </si>
  <si>
    <t xml:space="preserve">system_controller.py:772,332</t>
  </si>
  <si>
    <t xml:space="preserve">After 60s of heartbeat silence the watchdog fires every loop iteration with no effect and no alert.</t>
  </si>
  <si>
    <t xml:space="preserve">Platform-aware watchdog; alert instead of silent no-op.</t>
  </si>
  <si>
    <t xml:space="preserve">CTRL-05</t>
  </si>
  <si>
    <t xml:space="preserve">WebSocket auth bypasses AuthThrottle; unlimited unrecorded token guesses</t>
  </si>
  <si>
    <t xml:space="preserve">server.py:85-97</t>
  </si>
  <si>
    <t xml:space="preserve">accept() is called before authentication and THROTTLE is never consulted, while /api/* allows five failures per minute.</t>
  </si>
  <si>
    <t xml:space="preserve">Apply the throttle; reject before accept().</t>
  </si>
  <si>
    <t xml:space="preserve">CTRL-06</t>
  </si>
  <si>
    <t xml:space="preserve">Runtime-enabled strategies get no strategy_ttls entry</t>
  </si>
  <si>
    <t xml:space="preserve">system_controller.py:809,1060,746</t>
  </si>
  <si>
    <t xml:space="preserve">_refresh_strategies_from_registry rebinds strategies without rebuilding TTLs, so a runtime-enabled H1 strategy falls back to the 7200s default and its resting limits are cancelled 10 hours early.</t>
  </si>
  <si>
    <t xml:space="preserve">Rebuild TTLs on registry change.</t>
  </si>
  <si>
    <t xml:space="preserve">CTRL-08</t>
  </si>
  <si>
    <t xml:space="preserve">/panic cannot cancel an in-flight order submission</t>
  </si>
  <si>
    <t xml:space="preserve">system_controller.py:457,1087</t>
  </si>
  <si>
    <t xml:space="preserve">EMERGENCY can be set between the risk gates and the awaited send; that send proceeds. Narrow window, but it is the window that matters most.</t>
  </si>
  <si>
    <t xml:space="preserve">One asyncio.Lock across _execute_signal and capital-affecting commands.</t>
  </si>
  <si>
    <t xml:space="preserve">CTRL-10</t>
  </si>
  <si>
    <t xml:space="preserve">No rate limiting on inbound Telegram commands, per-user or global</t>
  </si>
  <si>
    <t xml:space="preserve">telemetry.py</t>
  </si>
  <si>
    <t xml:space="preserve">Only the 2.0s poll interval bounds throughput; an unbounded number of commands within one batch are create_task'd concurrently.</t>
  </si>
  <si>
    <t xml:space="preserve">Per-user and global command rate limits.</t>
  </si>
  <si>
    <t xml:space="preserve">ENTRY-02</t>
  </si>
  <si>
    <t xml:space="preserve">Session gate keyed to wall-clock, not bar time</t>
  </si>
  <si>
    <t xml:space="preserve">system_controller.py:842</t>
  </si>
  <si>
    <t xml:space="preserve">ctx['ny_time'] is the time the tick arrived. Inert today (windows [[0,24]]) but live and backtest will diverge the moment a window is re-enabled, and a late-processed bar is evaluated against the wrong session.</t>
  </si>
  <si>
    <t xml:space="preserve">Pass the bar's own timestamp into ctx.</t>
  </si>
  <si>
    <t xml:space="preserve">ENTRY-03</t>
  </si>
  <si>
    <t xml:space="preserve">M15 strategies silently never fire; H4 bucketing broken</t>
  </si>
  <si>
    <t xml:space="preserve">data_store.py:25; candle_maker.py:118</t>
  </si>
  <si>
    <t xml:space="preserve">Only M5 and H1 CandleMakers exist while _init_strategies maps M15. A manifest passes validation and produces zero signals with zero errors. Bucketing (minute//tf)*tf is broken for any tf &gt;= 120.</t>
  </si>
  <si>
    <t xml:space="preserve">Create makers from configured TFs; fix bucketing for tf &gt;= 60.</t>
  </si>
  <si>
    <t xml:space="preserve">ENTRY-04</t>
  </si>
  <si>
    <t xml:space="preserve">Warmup history includes the currently forming bar</t>
  </si>
  <si>
    <t xml:space="preserve">EA:256,267</t>
  </si>
  <si>
    <t xml:space="preserve">CopyRates from index 0 with ArraySetAsSeries includes the incomplete bar, which lands at the end of history_deque.</t>
  </si>
  <si>
    <t xml:space="preserve">CopyRates from index 1, or drop the last row in ingest_history.</t>
  </si>
  <si>
    <t xml:space="preserve">EXEC-02</t>
  </si>
  <si>
    <t xml:space="preserve">Synchronous SQLite commit and file flush on the signal path</t>
  </si>
  <si>
    <t xml:space="preserve">audit_logger.py:101; jsonlog.py:31</t>
  </si>
  <si>
    <t xml:space="preserve">log_event does a commit plus a file write in the event loop for every signal, before the order. EventJournal writes synchronously on every bus event. Cheap normally; unbounded if the disk stalls, which would stall order submission.</t>
  </si>
  <si>
    <t xml:space="preserve">Buffer or offload journal writes.</t>
  </si>
  <si>
    <t xml:space="preserve">EXEC-04</t>
  </si>
  <si>
    <t xml:space="preserve">json.JSONDecodeError in poll_commands escapes and crashes the process</t>
  </si>
  <si>
    <t xml:space="preserve">telemetry.py:127,133</t>
  </si>
  <si>
    <t xml:space="preserve">resp.json() on a non-JSON body raises outside requests.RequestException, propagates to run() and kills the loop. Combined with RISK-01 every such crash launders a fresh 3% allowance.</t>
  </si>
  <si>
    <t xml:space="preserve">Catch ValueError/JSONDecodeError.</t>
  </si>
  <si>
    <t xml:space="preserve">EXEC-06</t>
  </si>
  <si>
    <t xml:space="preserve">Out-of-order tick silently corrupts the forming candle</t>
  </si>
  <si>
    <t xml:space="preserve">candle_maker.py:127,139</t>
  </si>
  <si>
    <t xml:space="preserve">An earlier bucket_time falls through and updates high/low/close with a stale price. No guard, no counter, no log. Given RISK-10 the discontinuity is guaranteed to exist and guaranteed to go unnoticed.</t>
  </si>
  <si>
    <t xml:space="preserve">Reject and count ticks with an earlier bucket.</t>
  </si>
  <si>
    <t xml:space="preserve">EXEC-08</t>
  </si>
  <si>
    <t xml:space="preserve">Reconciliation is not part of the boot sequence</t>
  </si>
  <si>
    <t xml:space="preserve">system_controller.py:267-292,322</t>
  </si>
  <si>
    <t xml:space="preserve">The bot becomes ACTIVE and can send orders before the first reconciliation, which is a full 60s interval away.</t>
  </si>
  <si>
    <t xml:space="preserve">Reconcile once, explicitly, before the ACTIVE transition.</t>
  </si>
  <si>
    <t xml:space="preserve">EXEC-09</t>
  </si>
  <si>
    <t xml:space="preserve">prune_database is dead code; audit_log and data/journal/ grow without bound</t>
  </si>
  <si>
    <t xml:space="preserve">state_manager.py:228; jsonlog.py:27</t>
  </si>
  <si>
    <t xml:space="preserve">Text logs rotate; the JSONL is date-partitioned and never pruned; the audit_log table is unbounded.</t>
  </si>
  <si>
    <t xml:space="preserve">Schedule both nightly.</t>
  </si>
  <si>
    <t xml:space="preserve">EXIT-03</t>
  </si>
  <si>
    <t xml:space="preserve">TTL cancellation deletes the DB row before the cancel is confirmed</t>
  </si>
  <si>
    <t xml:space="preserve">system_controller.py:748</t>
  </si>
  <si>
    <t xml:space="preserve">Fire-and-forget CANCEL with the return ignored, then an unconditional delete. If the cancel fails or the limit fills in the same instant, the order is orphaned and re-enters as Adopted with no attribution and no initial_sl.</t>
  </si>
  <si>
    <t xml:space="preserve">Mark CANCELLING; delete on heartbeat absence.</t>
  </si>
  <si>
    <t xml:space="preserve">EXIT-04</t>
  </si>
  <si>
    <t xml:space="preserve">Runner high-water marks and tighten flag are in-memory only</t>
  </si>
  <si>
    <t xml:space="preserve">trade_manager.py:48-49</t>
  </si>
  <si>
    <t xml:space="preserve">A restart mid-runner resets the HWM to current price and re-arms the one-way tighten. r_level survives in SQLite; the runner state does not. Inconsistent durability within one mechanism.</t>
  </si>
  <si>
    <t xml:space="preserve">Persist alongside r_level.</t>
  </si>
  <si>
    <t xml:space="preserve">EXIT-05</t>
  </si>
  <si>
    <t xml:space="preserve">Runner sets tp = 0; no broker-side target survives the bot dying</t>
  </si>
  <si>
    <t xml:space="preserve">trade_manager.py:129</t>
  </si>
  <si>
    <t xml:space="preserve">From L3 onward the only broker-side exit is a trailing SL maintained exclusively by the Python trail loop. Combined with RISK-08 and EXIT-01 this is the exposure most worth covering before live.</t>
  </si>
  <si>
    <t xml:space="preserve">Set a far-away backstop TP instead of 0.</t>
  </si>
  <si>
    <t xml:space="preserve">OBS-03</t>
  </si>
  <si>
    <t xml:space="preserve">INSERT OR REPLACE preserves ratchet state but not the trade record</t>
  </si>
  <si>
    <t xml:space="preserve">state_manager.py:129</t>
  </si>
  <si>
    <t xml:space="preserve">COALESCEs only phase and ratchet_level; every other column is overwritten. Currently guarded, but a future second registration would zero the risk fields aggregate_open_risk depends on.</t>
  </si>
  <si>
    <t xml:space="preserve">COALESCE the risk fields too.</t>
  </si>
  <si>
    <t xml:space="preserve">OBS-04</t>
  </si>
  <si>
    <t xml:space="preserve">INSERT OR IGNORE + unconditional DELETE; ghost sweep records P&amp;L as 0 permanently</t>
  </si>
  <si>
    <t xml:space="preserve">state_manager.py:200,206; :395</t>
  </si>
  <si>
    <t xml:space="preserve">A ghost swept 120s before its real close notification permanently records that trade's P&amp;L as zero.</t>
  </si>
  <si>
    <t xml:space="preserve">Upsert on conflict; do not archive ghosts with pnl=0.</t>
  </si>
  <si>
    <t xml:space="preserve">OBS-08</t>
  </si>
  <si>
    <t xml:space="preserve">WATCHDOG=1 fires in a 50ms/10s window; loop stalls cause spurious systemd restarts</t>
  </si>
  <si>
    <t xml:space="preserve">system_controller.py:361</t>
  </si>
  <si>
    <t xml:space="preserve">Under EXEC-01 the loop period becomes ~3s, giving ~40% chance of missing every window across WatchdogSec=90. A Telegram outage can kill a healthy bot, and each restart re-anchors day_start_equity (RISK-01).</t>
  </si>
  <si>
    <t xml:space="preserve">Time-delta-based notify rather than a clock window.</t>
  </si>
  <si>
    <t xml:space="preserve">OBS-10</t>
  </si>
  <si>
    <t xml:space="preserve">synchronous=NORMAL on the live position-state database</t>
  </si>
  <si>
    <t xml:space="preserve">state_manager.py:36</t>
  </si>
  <si>
    <t xml:space="preserve">Survives process crash; can lose recent commits on power loss or VM reset. active_orders is the risk cap's input.</t>
  </si>
  <si>
    <t xml:space="preserve">PRAGMA synchronous=FULL for trade_state.db only.</t>
  </si>
  <si>
    <t xml:space="preserve">OPS-06</t>
  </si>
  <si>
    <t xml:space="preserve">Only 4 tests on calculate_lot_size; property tests point at the dead package</t>
  </si>
  <si>
    <t xml:space="preserve">test_risk_manager_sizing.py; test_tradebot_properties.py</t>
  </si>
  <si>
    <t xml:space="preserve">47 tests on the exposure cap vs 4 on the single most consequential function. 880 LOC of Hypothesis tests target code that cannot affect a trade.</t>
  </si>
  <si>
    <t xml:space="preserve">Per-asset-class table tests + Hypothesis against src/.</t>
  </si>
  <si>
    <t xml:space="preserve">OPS-07</t>
  </si>
  <si>
    <t xml:space="preserve">No runtime invariant assertions</t>
  </si>
  <si>
    <t xml:space="preserve">No position-without-stop check, no continuous risk-sum check, no state-vs-broker check, no duplicate-ID check, no spec sanity check.</t>
  </si>
  <si>
    <t xml:space="preserve">_assert_invariants() on every heartbeat publishing InvariantViolated.</t>
  </si>
  <si>
    <t xml:space="preserve">OPS-08</t>
  </si>
  <si>
    <t xml:space="preserve">config/overrides.yaml is gitignored, so GUI-set risk settings are backed up nowhere</t>
  </si>
  <si>
    <t xml:space="preserve">.gitignore:37</t>
  </si>
  <si>
    <t xml:space="preserve">The file holding operator-adjusted risk parameters exists in no backup and no version control.</t>
  </si>
  <si>
    <t xml:space="preserve">Include it in the nightly backup.</t>
  </si>
  <si>
    <t xml:space="preserve">OPS-09</t>
  </si>
  <si>
    <t xml:space="preserve">docs/RESUME.md - the designated first-read file - is stale</t>
  </si>
  <si>
    <t xml:space="preserve">RESUME.md:4,23</t>
  </si>
  <si>
    <t xml:space="preserve">Claims the working branch is unmerged (it was merged) and cites two files that no longer exist.</t>
  </si>
  <si>
    <t xml:space="preserve">Rewrite or delete.</t>
  </si>
  <si>
    <t xml:space="preserve">RISK-04</t>
  </si>
  <si>
    <t xml:space="preserve">Correlation check is direction-blind</t>
  </si>
  <si>
    <t xml:space="preserve">correlation.py:128</t>
  </si>
  <si>
    <t xml:space="preserve">Blocks on abs(rho) &gt; 0.8 without inspecting direction. A genuine spread trade is blocked; the case worth catching is blocked by accident.</t>
  </si>
  <si>
    <t xml:space="preserve">Signed exposure: same-direction rho&gt;0.8 and opposite-direction rho&lt;-0.8.</t>
  </si>
  <si>
    <t xml:space="preserve">(with RISK-03)</t>
  </si>
  <si>
    <t xml:space="preserve">RISK-05</t>
  </si>
  <si>
    <t xml:space="preserve">Currency saturation uses substring matching and a hardcoded threshold</t>
  </si>
  <si>
    <t xml:space="preserve">exposure.py:33,107</t>
  </si>
  <si>
    <t xml:space="preserve">Applies only when len(symbol)==6, so US30, US100, BTCUSD, ETHUSD, XTIUSD are exempt and XAUUSD is effectively exempt. Six of twelve symbols, including the three most correlated risk assets.</t>
  </si>
  <si>
    <t xml:space="preserve">Config-driven explicit asset-class groups.</t>
  </si>
  <si>
    <t xml:space="preserve">RISK-11</t>
  </si>
  <si>
    <t xml:space="preserve">round(lots, 2) destroys sub-0.01 lot steps</t>
  </si>
  <si>
    <t xml:space="preserve">risk_manager.py:203</t>
  </si>
  <si>
    <t xml:space="preserve">A broker reporting vol_step 0.001 (common on crypto CFDs) turns a correct 0.004 into 0.0, so the instrument silently never trades and the log cannot distinguish it from no signal.</t>
  </si>
  <si>
    <t xml:space="preserve">Round to step precision: round(lots, max(2, step_decimals)).</t>
  </si>
  <si>
    <t xml:space="preserve">RISK-14</t>
  </si>
  <si>
    <t xml:space="preserve">Daily limit trip is completely unlogged and unalerted</t>
  </si>
  <si>
    <t xml:space="preserve">risk_manager.py:141</t>
  </si>
  <si>
    <t xml:space="preserve">calculate_lot_size returns 0.0 and nothing is logged. A tripped daily loss cap is indistinguishable from a quiet market. Open positions keep running.</t>
  </si>
  <si>
    <t xml:space="preserve">Log + Telegram once per trip.</t>
  </si>
  <si>
    <t xml:space="preserve">RISK-15</t>
  </si>
  <si>
    <t xml:space="preserve">No weekly cap, monthly cap, peak-equity drawdown, consecutive-loss halt or margin headroom</t>
  </si>
  <si>
    <t xml:space="preserve">risk_manager.py; NOT FOUND</t>
  </si>
  <si>
    <t xml:space="preserve">equity_max is tracked at :59 and never read by any limit. No ACCOUNT_MARGIN_FREE check on the ZMQ path.</t>
  </si>
  <si>
    <t xml:space="preserve">Add the four missing limits + margin monitoring.</t>
  </si>
  <si>
    <t xml:space="preserve">SEC-03</t>
  </si>
  <si>
    <t xml:space="preserve">43 .pyc files tracked, including bytecode of three deleted strategies</t>
  </si>
  <si>
    <t xml:space="preserve">git ls-files</t>
  </si>
  <si>
    <t xml:space="preserve">crt.py, ict_ote.py and unicorn.py were deleted for being unvalidated and shipped as recoverable bytecode.</t>
  </si>
  <si>
    <t xml:space="preserve">git rm -r --cached '**/__pycache__'.</t>
  </si>
  <si>
    <t xml:space="preserve">SEC-06</t>
  </si>
  <si>
    <t xml:space="preserve">verify_integrity.py always fails, exits 0, and blocks on input()</t>
  </si>
  <si>
    <t xml:space="preserve">verify_integrity.py:41,62,137</t>
  </si>
  <si>
    <t xml:space="preserve">Requires the deleted unicorn.py, so it prints SYSTEM INTEGRITY: UNSTABLE on a healthy system. Cannot gate CI (exits 0, blocks on input). Misses config schema, checksums, dependency versions, state-vs-broker consistency and .env completeness.</t>
  </si>
  <si>
    <t xml:space="preserve">Rewrite as a preflight that exits non-zero; add schema, account-mode, port and lock-hash checks.</t>
  </si>
  <si>
    <t xml:space="preserve">SEC-07</t>
  </si>
  <si>
    <t xml:space="preserve">.claude/settings.json auto-approves git add and git commit</t>
  </si>
  <si>
    <t xml:space="preserve">.claude/settings.json:6-7</t>
  </si>
  <si>
    <t xml:space="preserve">Permits unattended commits with no secret scanning. Plausibly the proximate cause of the P0.</t>
  </si>
  <si>
    <t xml:space="preserve">Remove both from the allowlist.</t>
  </si>
  <si>
    <t xml:space="preserve">STRAT-02</t>
  </si>
  <si>
    <t xml:space="preserve">The load-bearing ratchet parameters were never varied</t>
  </si>
  <si>
    <t xml:space="preserve">trade_manager.py:37-39,122,132,144</t>
  </si>
  <si>
    <t xml:space="preserve">Fib levels 0.382/0.618/0.886, partial fractions 30%/50%, trail multiplier 0.268 and the 3-pip BE buffer are all hardcoded and untested. They produce the entire edge and have the least evidence behind them.</t>
  </si>
  <si>
    <t xml:space="preserve">Sensitivity sweep on the existing rig.</t>
  </si>
  <si>
    <t xml:space="preserve">STRAT-04</t>
  </si>
  <si>
    <t xml:space="preserve">Legacy Backtester measures the rejected M5 config; CLAUDE.md points the operator at it</t>
  </si>
  <si>
    <t xml:space="preserve">backtest_engine.py:209; CLAUDE.md:21</t>
  </si>
  <si>
    <t xml:space="preserve">TEST_CONFIG is hardcoded, ignores config.yaml, defaults to M5 with a 10-11 NY window. Per the study's own table that configuration nets -1.318R to -4.271R. Its SPREADS table also omits US100, ETHUSD and XTIUSD, which fall back to 20 points.</t>
  </si>
  <si>
    <t xml:space="preserve">Delete the Backtester class; keep the pure functions; repoint CLAUDE.md at research_run.py.</t>
  </si>
  <si>
    <t xml:space="preserve">STRAT-06</t>
  </si>
  <si>
    <t xml:space="preserve">No swap/financing model anywhere</t>
  </si>
  <si>
    <t xml:space="preserve">trade_dollars:148</t>
  </si>
  <si>
    <t xml:space="preserve">Runner positions are designed to be held overnight. On XTIUSD, ETHUSD and BTCUSD carry can exceed the measured edge.</t>
  </si>
  <si>
    <t xml:space="preserve">Add carry for XTIUSD/ETHUSD/BTCUSD/US30/US100/XAUUSD.</t>
  </si>
  <si>
    <t xml:space="preserve">CTRL-09</t>
  </si>
  <si>
    <t xml:space="preserve">Low</t>
  </si>
  <si>
    <t xml:space="preserve">esc() HTML-escapes strings sent with parse_mode=Markdown</t>
  </si>
  <si>
    <t xml:space="preserve">telemetry.py:173,188</t>
  </si>
  <si>
    <t xml:space="preserve">An exception message containing * or _ breaks Markdown parsing, Telegram returns 400, and per EXEC-03 that is silently swallowed. Error alerts are the ones most likely to fail to deliver.</t>
  </si>
  <si>
    <t xml:space="preserve">Match escaping to parse mode.</t>
  </si>
  <si>
    <t xml:space="preserve">OBS-11</t>
  </si>
  <si>
    <t xml:space="preserve">JsonLogger.bind() exists with zero callers; no correlation IDs anywhere</t>
  </si>
  <si>
    <t xml:space="preserve">jsonlog.py:52</t>
  </si>
  <si>
    <t xml:space="preserve">The signal log and the execution log share no key, so grading factors can never be joined to the resulting ticket.</t>
  </si>
  <si>
    <t xml:space="preserve">Bind a signal UUID through to the fill.</t>
  </si>
  <si>
    <t xml:space="preserve">OBS-12</t>
  </si>
  <si>
    <t xml:space="preserve">Log levels mix severity with domain; everything lands at INFO</t>
  </si>
  <si>
    <t xml:space="preserve">audit_logger.py:95</t>
  </si>
  <si>
    <t xml:space="preserve">log_event(type, module, msg) uses type for both ERROR/WARN and RISK/EXEC/SIGNAL, and all records are INFO, so file-log severity filtering is impossible.</t>
  </si>
  <si>
    <t xml:space="preserve">Separate level from domain.</t>
  </si>
  <si>
    <t xml:space="preserve">OPS-10</t>
  </si>
  <si>
    <t xml:space="preserve">.bat files document a superseded architecture and leak the token prefix on every run</t>
  </si>
  <si>
    <t xml:space="preserve">AUTO_START.bat:13; RUN_TITAN.bat:36</t>
  </si>
  <si>
    <t xml:space="preserve">Launch the Python core on Windows while CLAUDE.md:7 says it runs in WSL. RUN_TITAN.bat runs test_telegram.py, which prints token[:5] and the full chat ID.</t>
  </si>
  <si>
    <t xml:space="preserve">Delete or move to docs/legacy/; strip the prints.</t>
  </si>
  <si>
    <t xml:space="preserve">OPS-11</t>
  </si>
  <si>
    <t xml:space="preserve">Rollback procedure does not restore deleted files</t>
  </si>
  <si>
    <t xml:space="preserve">deploy-systemd.md:57</t>
  </si>
  <si>
    <t xml:space="preserve">git checkout &lt;sha&gt; -- . leaves files added since that commit in place.</t>
  </si>
  <si>
    <t xml:space="preserve">Add git clean -fd.</t>
  </si>
  <si>
    <t xml:space="preserve">OPS-12</t>
  </si>
  <si>
    <t xml:space="preserve">Misleading STATUS: PRODUCTION READY headers throughout</t>
  </si>
  <si>
    <t xml:space="preserve">main.py:8 and elsewhere</t>
  </si>
  <si>
    <t xml:space="preserve">CLAUDE.md:50 already disowns them. Actively misleading in a live-money repository.</t>
  </si>
  <si>
    <t xml:space="preserve">Delete every such header.</t>
  </si>
  <si>
    <t xml:space="preserve">10 m</t>
  </si>
  <si>
    <t xml:space="preserve">OPS-13</t>
  </si>
  <si>
    <t xml:space="preserve">command_cooldowns, runner_hwm and tightened are never pruned</t>
  </si>
  <si>
    <t xml:space="preserve">trade_manager.py:34,48,49</t>
  </si>
  <si>
    <t xml:space="preserve">Negligible in bytes, but they are the ratchet's memory and are not tied to position lifetime.</t>
  </si>
  <si>
    <t xml:space="preserve">Drop entries on position close.</t>
  </si>
  <si>
    <t xml:space="preserve">OPS-14</t>
  </si>
  <si>
    <t xml:space="preserve">_web_task is never awaited; GUI death is silent</t>
  </si>
  <si>
    <t xml:space="preserve">system_controller.py:260</t>
  </si>
  <si>
    <t xml:space="preserve">If server.serve() raises, the exception is swallowed until GC and nobody notices the GUI died.</t>
  </si>
  <si>
    <t xml:space="preserve">Add a done-callback that logs.</t>
  </si>
  <si>
    <t xml:space="preserve">OPS-15</t>
  </si>
  <si>
    <t xml:space="preserve">max_global_exposure_pct is a position count, not a percentage</t>
  </si>
  <si>
    <t xml:space="preserve">config.yaml:36</t>
  </si>
  <si>
    <t xml:space="preserve">Doc-flagged, but a mis-named field is a latent misconfiguration.</t>
  </si>
  <si>
    <t xml:space="preserve">Rename the field.</t>
  </si>
  <si>
    <t xml:space="preserve">OPS-16</t>
  </si>
  <si>
    <t xml:space="preserve">Backoff has no jitter</t>
  </si>
  <si>
    <t xml:space="preserve">telemetry.py:105</t>
  </si>
  <si>
    <t xml:space="preserve">0.5 * 2**attempt, 3 attempts, no jitter.</t>
  </si>
  <si>
    <t xml:space="preserve">Add jitter.</t>
  </si>
  <si>
    <t xml:space="preserve">OPS-17</t>
  </si>
  <si>
    <t xml:space="preserve">test_telegram.py is a diagnostic script named like a test</t>
  </si>
  <si>
    <t xml:space="preserve">test_telegram.py</t>
  </si>
  <si>
    <t xml:space="preserve">No assertions, sends a real message, prints credentials, and runs on every Windows startup. unittest discover and future CI could mistake it for a test.</t>
  </si>
  <si>
    <t xml:space="preserve">Rename to scripts/check_telegram.py; strip the prints.</t>
  </si>
  <si>
    <t xml:space="preserve">RISK-12</t>
  </si>
  <si>
    <t xml:space="preserve">Commission solver skipped when commission dominates</t>
  </si>
  <si>
    <t xml:space="preserve">risk_manager.py:183</t>
  </si>
  <si>
    <t xml:space="preserve">The estimated_comm &lt; raw_risk*0.5 branch reverts to gross sizing, under-charging commission exactly when it matters most.</t>
  </si>
  <si>
    <t xml:space="preserve">Always apply the commission adjustment.</t>
  </si>
  <si>
    <t xml:space="preserve">RISK-13</t>
  </si>
  <si>
    <t xml:space="preserve">Cached risk scalars vs live config (DOWNGRADED - contained)</t>
  </si>
  <si>
    <t xml:space="preserve">risk_manager.py:28-31; settings.py:16-26</t>
  </si>
  <si>
    <t xml:space="preserve">max_dd/risk_pct/hard_max_lots/comm_per_lot cached at __init__ while throttle_factor reads live. settings.py documents this precisely and moves those keys to restart-tier, so the GUI does not falsely report. Residual defect is the now-false docstring.</t>
  </si>
  <si>
    <t xml:space="preserve">Fix the docstring at system_controller.py:56.</t>
  </si>
  <si>
    <t xml:space="preserve">SEC-08</t>
  </si>
  <si>
    <t xml:space="preserve">subprocess with shell=True (hardcoded literal, not injectable)</t>
  </si>
  <si>
    <t xml:space="preserve">system_controller.py:774</t>
  </si>
  <si>
    <t xml:space="preserve">No interpolation, so not exploitable. Style issue only.</t>
  </si>
  <si>
    <t xml:space="preserve">Drop shell=True.</t>
  </si>
  <si>
    <t xml:space="preserve">SEC-09</t>
  </si>
  <si>
    <t xml:space="preserve">Bridge .env.example ships a memorable placeholder token</t>
  </si>
  <si>
    <t xml:space="preserve">bridge/config/.env.example:3</t>
  </si>
  <si>
    <t xml:space="preserve">CHANGE_ME_generate_a_long_random_token becomes a public constant if copied unchanged.</t>
  </si>
  <si>
    <t xml:space="preserve">Generate at install time.</t>
  </si>
  <si>
    <t xml:space="preserve">STRAT-07</t>
  </si>
  <si>
    <t xml:space="preserve">Missing walk-forward, Sharpe/Sortino, drawdown duration, MAE/MFE</t>
  </si>
  <si>
    <t xml:space="preserve">aggregate_metrics:110</t>
  </si>
  <si>
    <t xml:space="preserve">No time-series equity curve exists, only a trade sequence. Drawdown magnitude is captured; duration is not.</t>
  </si>
  <si>
    <t xml:space="preserve">Add to the existing rig.</t>
  </si>
  <si>
    <t xml:space="preserve">STRAT-08</t>
  </si>
  <si>
    <t xml:space="preserve">Backtest shift_hours=-7 is fragile across misaligned DST transitions</t>
  </si>
  <si>
    <t xml:space="preserve">backtest_engine.py:221</t>
  </si>
  <si>
    <t xml:space="preserve">Coincidentally correct year-round for an EET/EEST broker into EST/EDT, wrong for the ~3 weeks each year when the transitions do not align.</t>
  </si>
  <si>
    <t xml:space="preserve">Use pytz conversion.</t>
  </si>
  <si>
    <t xml:space="preserve">TITAN AUDIT — FINDINGS SUMMARY</t>
  </si>
  <si>
    <t xml:space="preserve">Repository: Kiyingijmc/Titanprivate-   |   Commits 7dd9527..cc59155   |   Audit date 2026-07-30</t>
  </si>
  <si>
    <t xml:space="preserve">Counts are live formulas over the 'Findings Register' sheet — they update as you set Status.</t>
  </si>
  <si>
    <t xml:space="preserve">BY SEVERITY</t>
  </si>
  <si>
    <t xml:space="preserve">Total</t>
  </si>
  <si>
    <t xml:space="preserve">Fixed/Verified</t>
  </si>
  <si>
    <t xml:space="preserve">% closed</t>
  </si>
  <si>
    <t xml:space="preserve">TOTAL</t>
  </si>
  <si>
    <t xml:space="preserve">BY SECTION</t>
  </si>
  <si>
    <t xml:space="preserve">BY REMEDIATION STAGE</t>
  </si>
  <si>
    <t xml:space="preserve">Meaning</t>
  </si>
  <si>
    <t xml:space="preserve">Stop the bleeding — before ANY run, demo included (~1 week)</t>
  </si>
  <si>
    <t xml:space="preserve">Foundations — before live capital (~3 weeks)</t>
  </si>
  <si>
    <t xml:space="preserve">Feature completion — during and after the soak (~3 weeks)</t>
  </si>
  <si>
    <t xml:space="preserve">TOP 10 FINDINGS — ranked by expected financial impact x likelihood</t>
  </si>
  <si>
    <t xml:space="preserve">Ranking is a judgement, not a formula. It answers: what should I fix first if I could only fix ten things?</t>
  </si>
  <si>
    <t xml:space="preserve">Rank</t>
  </si>
  <si>
    <t xml:space="preserve">Impact if it fires</t>
  </si>
  <si>
    <t xml:space="preserve">Likelihood</t>
  </si>
  <si>
    <t xml:space="preserve">One-line fix</t>
  </si>
  <si>
    <t xml:space="preserve">Live Telegram token public in two places on a public repo</t>
  </si>
  <si>
    <t xml:space="preserve">High — loss of control channel + impersonation during an incident</t>
  </si>
  <si>
    <t xml:space="preserve">CERTAIN — already happened</t>
  </si>
  <si>
    <t xml:space="preserve">Rotate -&gt; deleteWebhook -&gt; private -&gt; filter-repo</t>
  </si>
  <si>
    <t xml:space="preserve">Daily drawdown anchor resets on every restart; no restart cap</t>
  </si>
  <si>
    <t xml:space="preserve">VERY HIGH — 3% x crash count, unbounded, in one day</t>
  </si>
  <si>
    <t xml:space="preserve">High — several crash paths exist</t>
  </si>
  <si>
    <t xml:space="preserve">Persist anchor + date; StartLimitBurst=3</t>
  </si>
  <si>
    <t xml:space="preserve">Live expectancy is unmeasured (validated exits != live exits)</t>
  </si>
  <si>
    <t xml:space="preserve">VERY HIGH — may be running a negative-expectancy system</t>
  </si>
  <si>
    <t xml:space="preserve">CERTAIN — current state</t>
  </si>
  <si>
    <t xml:space="preserve">Extract the ratchet to one function; re-run the study</t>
  </si>
  <si>
    <t xml:space="preserve">Count and per-symbol caps blind to resting limit orders</t>
  </si>
  <si>
    <t xml:space="preserve">High — 5% concentrated vs 1% intended</t>
  </si>
  <si>
    <t xml:space="preserve">High — the book's normal state, weekly</t>
  </si>
  <si>
    <t xml:space="preserve">Pass pendings into both count gates</t>
  </si>
  <si>
    <t xml:space="preserve">One ZMQ message re-sizes every trade to 5.00 lots</t>
  </si>
  <si>
    <t xml:space="preserve">CATASTROPHIC — ~100x intended risk</t>
  </si>
  <si>
    <t xml:space="preserve">Moderate adversarially; the broker-misquote variant is plausible</t>
  </si>
  <si>
    <t xml:space="preserve">Bounds-check specs; bind specific interface; HMAC</t>
  </si>
  <si>
    <t xml:space="preserve">Live and history bars timestamped in different timezones</t>
  </si>
  <si>
    <t xml:space="preserve">High — every indicator computed across a discontinuity</t>
  </si>
  <si>
    <t xml:space="preserve">CERTAIN on the deployment host</t>
  </si>
  <si>
    <t xml:space="preserve">fromtimestamp(ts, tz=utc)</t>
  </si>
  <si>
    <t xml:space="preserve">Flatten commands report unverified success</t>
  </si>
  <si>
    <t xml:space="preserve">UNBOUNDED — operator stands down believing they are flat</t>
  </si>
  <si>
    <t xml:space="preserve">Moderate</t>
  </si>
  <si>
    <t xml:space="preserve">Report observed position count after 2 heartbeats</t>
  </si>
  <si>
    <t xml:space="preserve">No idempotency key on any order</t>
  </si>
  <si>
    <t xml:space="preserve">High — duplicate fills, under-counted book risk</t>
  </si>
  <si>
    <t xml:space="preserve">Moderate — 2.5s timeout on a single-threaded EA</t>
  </si>
  <si>
    <t xml:space="preserve">UUID in comment; EA dedup; query, never resend</t>
  </si>
  <si>
    <t xml:space="preserve">Journal cannot validate the ratchet</t>
  </si>
  <si>
    <t xml:space="preserve">High (indirect) — keeps #3 open indefinitely</t>
  </si>
  <si>
    <t xml:space="preserve">CERTAIN, and deadline-sensitive</t>
  </si>
  <si>
    <t xml:space="preserve">Add columns + trade_events table BEFORE the soak continues</t>
  </si>
  <si>
    <t xml:space="preserve">CATASTROPHIC — full live exposure from an unvalidated run</t>
  </si>
  <si>
    <t xml:space="preserve">Low-moderate — one EA misconfiguration</t>
  </si>
  <si>
    <t xml:space="preserve">EA reports trade mode; Python refuses on mismatch</t>
  </si>
  <si>
    <t xml:space="preserve">HOW TO USE THIS REGISTER</t>
  </si>
  <si>
    <t xml:space="preserve">Editable columns</t>
  </si>
  <si>
    <t xml:space="preserve">Only J (Status), K (Owner), L (Target date), M (Verified) and N (Notes) are yours to fill in.</t>
  </si>
  <si>
    <t xml:space="preserve">Columns A-I are audit output. Changing them breaks the Summary formulas.</t>
  </si>
  <si>
    <t xml:space="preserve">Status values</t>
  </si>
  <si>
    <t xml:space="preserve">Open · In progress · Fixed · Verified · Deferred · Won't fix  (dropdown)</t>
  </si>
  <si>
    <t xml:space="preserve">'Fixed' means the code changed. 'Verified' means you proved it with a test or an observation.</t>
  </si>
  <si>
    <t xml:space="preserve">Do not mark a risk finding Verified without a test that fails on the old code.</t>
  </si>
  <si>
    <t xml:space="preserve">P0 — act today. A live credential is public.</t>
  </si>
  <si>
    <t xml:space="preserve">Critical — blocks live capital. Can cause loss far outside the intended risk profile.</t>
  </si>
  <si>
    <t xml:space="preserve">High — blocks live capital. Serious, but bounded or requiring a trigger.</t>
  </si>
  <si>
    <t xml:space="preserve">Medium — fix before scaling. Correctness, realism or hygiene.</t>
  </si>
  <si>
    <t xml:space="preserve">Low — hygiene. Stale docs, naming, missing metrics, unused mechanisms.</t>
  </si>
  <si>
    <t xml:space="preserve">A — Stop the bleeding. Before ANY run, demo included. ~1 week.</t>
  </si>
  <si>
    <t xml:space="preserve">B — Foundations. Before live capital. ~3 weeks.</t>
  </si>
  <si>
    <t xml:space="preserve">C — Feature completion. During and after the soak. ~3 weeks.</t>
  </si>
  <si>
    <t xml:space="preserve">Location</t>
  </si>
  <si>
    <t xml:space="preserve">file:line references point into commits 7dd9527..cc59155.</t>
  </si>
  <si>
    <t xml:space="preserve">'NOT FOUND' means searched for and absent — a finding, not an omission.</t>
  </si>
  <si>
    <t xml:space="preserve">Sequencing note</t>
  </si>
  <si>
    <t xml:space="preserve">OBS-01 (journal schema) has a DEADLINE the others do not: every day the demo soak</t>
  </si>
  <si>
    <t xml:space="preserve">runs against the current schema is a day of evidence that cannot be recovered.</t>
  </si>
  <si>
    <t xml:space="preserve">Do it first, then RISK-01 and RISK-02 the same day, then start the soak clock.</t>
  </si>
  <si>
    <t xml:space="preserve">Corrections</t>
  </si>
  <si>
    <t xml:space="preserve">Three findings were corrected during the audit and are recorded in 00-README-INDEX.md:</t>
  </si>
  <si>
    <t xml:space="preserve">the threading model (withdrawn), cached risk scalars (downgraded to Low), and the</t>
  </si>
  <si>
    <t xml:space="preserve">universe expansion (suspicion was wrong — it was properly re-validated).</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</si>
</sst>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9"/>
      <name val="Arial"/>
      <family val="0"/>
      <charset val="1"/>
    </font>
    <font>
      <b val="true"/>
      <sz val="10"/>
      <color rgb="FF000000"/>
      <name val="Arial"/>
      <family val="0"/>
      <charset val="1"/>
    </font>
    <font>
      <sz val="10"/>
      <color rgb="FF000000"/>
      <name val="Arial"/>
      <family val="0"/>
      <charset val="1"/>
    </font>
    <font>
      <b val="true"/>
      <sz val="14"/>
      <color rgb="FF1F3864"/>
      <name val="Arial"/>
      <family val="0"/>
      <charset val="1"/>
    </font>
    <font>
      <i val="true"/>
      <sz val="10"/>
      <name val="Arial"/>
      <family val="0"/>
      <charset val="1"/>
    </font>
    <font>
      <i val="true"/>
      <sz val="9"/>
      <color rgb="FF808080"/>
      <name val="Arial"/>
      <family val="0"/>
      <charset val="1"/>
    </font>
    <font>
      <b val="true"/>
      <sz val="11"/>
      <name val="Arial"/>
      <family val="0"/>
      <charset val="1"/>
    </font>
    <font>
      <b val="true"/>
      <sz val="10"/>
      <name val="Arial"/>
      <family val="0"/>
      <charset val="1"/>
    </font>
    <font>
      <b val="true"/>
      <sz val="13"/>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7B1E1E"/>
        <bgColor rgb="FF800000"/>
      </patternFill>
    </fill>
    <fill>
      <patternFill patternType="solid">
        <fgColor rgb="FFC0392B"/>
        <bgColor rgb="FF993366"/>
      </patternFill>
    </fill>
    <fill>
      <patternFill patternType="solid">
        <fgColor rgb="FFE67E22"/>
        <bgColor rgb="FFFF9900"/>
      </patternFill>
    </fill>
    <fill>
      <patternFill patternType="solid">
        <fgColor rgb="FFF1C40F"/>
        <bgColor rgb="FFFF9900"/>
      </patternFill>
    </fill>
    <fill>
      <patternFill patternType="solid">
        <fgColor rgb="FFAEB6BF"/>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4"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center" vertical="top" textRotation="0" wrapText="false" indent="0" shrinkToFit="false"/>
      <protection locked="true" hidden="false"/>
    </xf>
    <xf numFmtId="164" fontId="4"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B1E1E"/>
          <bgColor rgb="FF000000"/>
        </patternFill>
      </fill>
    </dxf>
    <dxf>
      <fill>
        <patternFill patternType="solid">
          <fgColor rgb="FFAEB6BF"/>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F1C40F"/>
          <bgColor rgb="FF000000"/>
        </patternFill>
      </fill>
    </dxf>
    <dxf>
      <fill>
        <patternFill patternType="solid">
          <fgColor rgb="FF000000"/>
          <bgColor rgb="FF000000"/>
        </patternFill>
      </fill>
    </dxf>
    <dxf>
      <fill>
        <patternFill patternType="solid">
          <fgColor rgb="FFFFC7CE"/>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392B"/>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AEB6BF"/>
      <rgbColor rgb="FFFF99CC"/>
      <rgbColor rgb="FFCC99FF"/>
      <rgbColor rgb="FFFFC7CE"/>
      <rgbColor rgb="FF3366FF"/>
      <rgbColor rgb="FF33CCCC"/>
      <rgbColor rgb="FF99CC00"/>
      <rgbColor rgb="FFF1C40F"/>
      <rgbColor rgb="FFFF9900"/>
      <rgbColor rgb="FFE67E22"/>
      <rgbColor rgb="FF666699"/>
      <rgbColor rgb="FF969696"/>
      <rgbColor rgb="FF1F3864"/>
      <rgbColor rgb="FF339966"/>
      <rgbColor rgb="FF003300"/>
      <rgbColor rgb="FF333300"/>
      <rgbColor rgb="FF7B1E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7"/>
    <col collapsed="false" customWidth="true" hidden="false" outlineLevel="0" max="4" min="4" style="0" width="44"/>
    <col collapsed="false" customWidth="true" hidden="false" outlineLevel="0" max="5" min="5" style="0" width="30"/>
    <col collapsed="false" customWidth="true" hidden="false" outlineLevel="0" max="6" min="6" style="0" width="62"/>
    <col collapsed="false" customWidth="true" hidden="false" outlineLevel="0" max="7" min="7" style="0" width="44"/>
    <col collapsed="false" customWidth="true" hidden="false" outlineLevel="0" max="8" min="8" style="0" width="9"/>
    <col collapsed="false" customWidth="true" hidden="false" outlineLevel="0" max="9" min="9" style="0" width="7"/>
    <col collapsed="false" customWidth="true" hidden="false" outlineLevel="0" max="10" min="10" style="0" width="11"/>
    <col collapsed="false" customWidth="true" hidden="false" outlineLevel="0" max="12" min="11" style="0" width="12"/>
    <col collapsed="false" customWidth="true" hidden="false" outlineLevel="0" max="13" min="13" style="0" width="10"/>
    <col collapsed="false" customWidth="true" hidden="false" outlineLevel="0" max="14" min="14" style="0" width="26"/>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57.75" hidden="false" customHeight="true" outlineLevel="0" collapsed="false">
      <c r="A2" s="2" t="s">
        <v>14</v>
      </c>
      <c r="B2" s="3" t="s">
        <v>15</v>
      </c>
      <c r="C2" s="2" t="s">
        <v>16</v>
      </c>
      <c r="D2" s="4" t="s">
        <v>17</v>
      </c>
      <c r="E2" s="5" t="s">
        <v>18</v>
      </c>
      <c r="F2" s="4" t="s">
        <v>19</v>
      </c>
      <c r="G2" s="4" t="s">
        <v>20</v>
      </c>
      <c r="H2" s="2" t="s">
        <v>21</v>
      </c>
      <c r="I2" s="2" t="s">
        <v>22</v>
      </c>
      <c r="J2" s="2" t="s">
        <v>23</v>
      </c>
      <c r="K2" s="2"/>
      <c r="L2" s="2"/>
      <c r="M2" s="2" t="s">
        <v>24</v>
      </c>
      <c r="N2" s="4"/>
    </row>
    <row r="3" customFormat="false" ht="57.75" hidden="false" customHeight="true" outlineLevel="0" collapsed="false">
      <c r="A3" s="2" t="s">
        <v>25</v>
      </c>
      <c r="B3" s="6" t="s">
        <v>26</v>
      </c>
      <c r="C3" s="2" t="s">
        <v>27</v>
      </c>
      <c r="D3" s="4" t="s">
        <v>28</v>
      </c>
      <c r="E3" s="5" t="s">
        <v>29</v>
      </c>
      <c r="F3" s="4" t="s">
        <v>30</v>
      </c>
      <c r="G3" s="4" t="s">
        <v>31</v>
      </c>
      <c r="H3" s="2" t="s">
        <v>32</v>
      </c>
      <c r="I3" s="2" t="s">
        <v>33</v>
      </c>
      <c r="J3" s="2" t="s">
        <v>23</v>
      </c>
      <c r="K3" s="2"/>
      <c r="L3" s="2"/>
      <c r="M3" s="2" t="s">
        <v>24</v>
      </c>
      <c r="N3" s="4"/>
    </row>
    <row r="4" customFormat="false" ht="57.75" hidden="false" customHeight="true" outlineLevel="0" collapsed="false">
      <c r="A4" s="2" t="s">
        <v>34</v>
      </c>
      <c r="B4" s="6" t="s">
        <v>26</v>
      </c>
      <c r="C4" s="2" t="s">
        <v>27</v>
      </c>
      <c r="D4" s="4" t="s">
        <v>35</v>
      </c>
      <c r="E4" s="5" t="s">
        <v>36</v>
      </c>
      <c r="F4" s="4" t="s">
        <v>37</v>
      </c>
      <c r="G4" s="4" t="s">
        <v>38</v>
      </c>
      <c r="H4" s="2" t="s">
        <v>32</v>
      </c>
      <c r="I4" s="2" t="s">
        <v>33</v>
      </c>
      <c r="J4" s="2" t="s">
        <v>23</v>
      </c>
      <c r="K4" s="2"/>
      <c r="L4" s="2"/>
      <c r="M4" s="2" t="s">
        <v>24</v>
      </c>
      <c r="N4" s="4"/>
    </row>
    <row r="5" customFormat="false" ht="57.75" hidden="false" customHeight="true" outlineLevel="0" collapsed="false">
      <c r="A5" s="2" t="s">
        <v>39</v>
      </c>
      <c r="B5" s="6" t="s">
        <v>26</v>
      </c>
      <c r="C5" s="2" t="s">
        <v>40</v>
      </c>
      <c r="D5" s="4" t="s">
        <v>41</v>
      </c>
      <c r="E5" s="5" t="s">
        <v>42</v>
      </c>
      <c r="F5" s="4" t="s">
        <v>43</v>
      </c>
      <c r="G5" s="4" t="s">
        <v>44</v>
      </c>
      <c r="H5" s="2" t="s">
        <v>45</v>
      </c>
      <c r="I5" s="2" t="s">
        <v>33</v>
      </c>
      <c r="J5" s="2" t="s">
        <v>23</v>
      </c>
      <c r="K5" s="2"/>
      <c r="L5" s="2"/>
      <c r="M5" s="2" t="s">
        <v>24</v>
      </c>
      <c r="N5" s="4"/>
    </row>
    <row r="6" customFormat="false" ht="57.75" hidden="false" customHeight="true" outlineLevel="0" collapsed="false">
      <c r="A6" s="2" t="s">
        <v>46</v>
      </c>
      <c r="B6" s="6" t="s">
        <v>26</v>
      </c>
      <c r="C6" s="2" t="s">
        <v>47</v>
      </c>
      <c r="D6" s="4" t="s">
        <v>48</v>
      </c>
      <c r="E6" s="5" t="s">
        <v>49</v>
      </c>
      <c r="F6" s="4" t="s">
        <v>50</v>
      </c>
      <c r="G6" s="4" t="s">
        <v>51</v>
      </c>
      <c r="H6" s="2" t="s">
        <v>21</v>
      </c>
      <c r="I6" s="2" t="s">
        <v>22</v>
      </c>
      <c r="J6" s="2" t="s">
        <v>23</v>
      </c>
      <c r="K6" s="2"/>
      <c r="L6" s="2"/>
      <c r="M6" s="2" t="s">
        <v>24</v>
      </c>
      <c r="N6" s="4"/>
    </row>
    <row r="7" customFormat="false" ht="57.75" hidden="false" customHeight="true" outlineLevel="0" collapsed="false">
      <c r="A7" s="2" t="s">
        <v>52</v>
      </c>
      <c r="B7" s="6" t="s">
        <v>26</v>
      </c>
      <c r="C7" s="2" t="s">
        <v>47</v>
      </c>
      <c r="D7" s="4" t="s">
        <v>53</v>
      </c>
      <c r="E7" s="5" t="s">
        <v>54</v>
      </c>
      <c r="F7" s="4" t="s">
        <v>55</v>
      </c>
      <c r="G7" s="4" t="s">
        <v>56</v>
      </c>
      <c r="H7" s="2" t="s">
        <v>57</v>
      </c>
      <c r="I7" s="2" t="s">
        <v>22</v>
      </c>
      <c r="J7" s="2" t="s">
        <v>23</v>
      </c>
      <c r="K7" s="2"/>
      <c r="L7" s="2"/>
      <c r="M7" s="2" t="s">
        <v>24</v>
      </c>
      <c r="N7" s="4"/>
    </row>
    <row r="8" customFormat="false" ht="57.75" hidden="false" customHeight="true" outlineLevel="0" collapsed="false">
      <c r="A8" s="2" t="s">
        <v>58</v>
      </c>
      <c r="B8" s="6" t="s">
        <v>26</v>
      </c>
      <c r="C8" s="2" t="s">
        <v>47</v>
      </c>
      <c r="D8" s="4" t="s">
        <v>59</v>
      </c>
      <c r="E8" s="5" t="s">
        <v>60</v>
      </c>
      <c r="F8" s="4" t="s">
        <v>61</v>
      </c>
      <c r="G8" s="4" t="s">
        <v>62</v>
      </c>
      <c r="H8" s="2" t="s">
        <v>57</v>
      </c>
      <c r="I8" s="2" t="s">
        <v>22</v>
      </c>
      <c r="J8" s="2" t="s">
        <v>23</v>
      </c>
      <c r="K8" s="2"/>
      <c r="L8" s="2"/>
      <c r="M8" s="2" t="s">
        <v>24</v>
      </c>
      <c r="N8" s="4"/>
    </row>
    <row r="9" customFormat="false" ht="57.75" hidden="false" customHeight="true" outlineLevel="0" collapsed="false">
      <c r="A9" s="2" t="s">
        <v>63</v>
      </c>
      <c r="B9" s="6" t="s">
        <v>26</v>
      </c>
      <c r="C9" s="2" t="s">
        <v>16</v>
      </c>
      <c r="D9" s="4" t="s">
        <v>64</v>
      </c>
      <c r="E9" s="5" t="s">
        <v>65</v>
      </c>
      <c r="F9" s="4" t="s">
        <v>66</v>
      </c>
      <c r="G9" s="4" t="s">
        <v>67</v>
      </c>
      <c r="H9" s="2" t="s">
        <v>21</v>
      </c>
      <c r="I9" s="2" t="s">
        <v>22</v>
      </c>
      <c r="J9" s="2" t="s">
        <v>23</v>
      </c>
      <c r="K9" s="2"/>
      <c r="L9" s="2"/>
      <c r="M9" s="2" t="s">
        <v>24</v>
      </c>
      <c r="N9" s="4"/>
    </row>
    <row r="10" customFormat="false" ht="57.75" hidden="false" customHeight="true" outlineLevel="0" collapsed="false">
      <c r="A10" s="2" t="s">
        <v>68</v>
      </c>
      <c r="B10" s="6" t="s">
        <v>26</v>
      </c>
      <c r="C10" s="2" t="s">
        <v>69</v>
      </c>
      <c r="D10" s="4" t="s">
        <v>70</v>
      </c>
      <c r="E10" s="5" t="s">
        <v>71</v>
      </c>
      <c r="F10" s="4" t="s">
        <v>72</v>
      </c>
      <c r="G10" s="4" t="s">
        <v>73</v>
      </c>
      <c r="H10" s="2" t="s">
        <v>32</v>
      </c>
      <c r="I10" s="2" t="s">
        <v>33</v>
      </c>
      <c r="J10" s="2" t="s">
        <v>23</v>
      </c>
      <c r="K10" s="2"/>
      <c r="L10" s="2"/>
      <c r="M10" s="2" t="s">
        <v>24</v>
      </c>
      <c r="N10" s="4"/>
    </row>
    <row r="11" customFormat="false" ht="57.75" hidden="false" customHeight="true" outlineLevel="0" collapsed="false">
      <c r="A11" s="2" t="s">
        <v>74</v>
      </c>
      <c r="B11" s="7" t="s">
        <v>75</v>
      </c>
      <c r="C11" s="2" t="s">
        <v>27</v>
      </c>
      <c r="D11" s="4" t="s">
        <v>76</v>
      </c>
      <c r="E11" s="5" t="s">
        <v>77</v>
      </c>
      <c r="F11" s="4" t="s">
        <v>78</v>
      </c>
      <c r="G11" s="4" t="s">
        <v>79</v>
      </c>
      <c r="H11" s="2" t="s">
        <v>80</v>
      </c>
      <c r="I11" s="2" t="s">
        <v>22</v>
      </c>
      <c r="J11" s="2" t="s">
        <v>23</v>
      </c>
      <c r="K11" s="2"/>
      <c r="L11" s="2"/>
      <c r="M11" s="2" t="s">
        <v>24</v>
      </c>
      <c r="N11" s="4"/>
    </row>
    <row r="12" customFormat="false" ht="57.75" hidden="false" customHeight="true" outlineLevel="0" collapsed="false">
      <c r="A12" s="2" t="s">
        <v>81</v>
      </c>
      <c r="B12" s="7" t="s">
        <v>75</v>
      </c>
      <c r="C12" s="2" t="s">
        <v>27</v>
      </c>
      <c r="D12" s="4" t="s">
        <v>82</v>
      </c>
      <c r="E12" s="5" t="s">
        <v>83</v>
      </c>
      <c r="F12" s="4" t="s">
        <v>84</v>
      </c>
      <c r="G12" s="4" t="s">
        <v>85</v>
      </c>
      <c r="H12" s="2" t="s">
        <v>45</v>
      </c>
      <c r="I12" s="2" t="s">
        <v>86</v>
      </c>
      <c r="J12" s="2" t="s">
        <v>23</v>
      </c>
      <c r="K12" s="2"/>
      <c r="L12" s="2"/>
      <c r="M12" s="2" t="s">
        <v>24</v>
      </c>
      <c r="N12" s="4"/>
    </row>
    <row r="13" customFormat="false" ht="57.75" hidden="false" customHeight="true" outlineLevel="0" collapsed="false">
      <c r="A13" s="2" t="s">
        <v>87</v>
      </c>
      <c r="B13" s="7" t="s">
        <v>75</v>
      </c>
      <c r="C13" s="2" t="s">
        <v>27</v>
      </c>
      <c r="D13" s="4" t="s">
        <v>88</v>
      </c>
      <c r="E13" s="5" t="s">
        <v>89</v>
      </c>
      <c r="F13" s="4" t="s">
        <v>90</v>
      </c>
      <c r="G13" s="4" t="s">
        <v>91</v>
      </c>
      <c r="H13" s="2" t="s">
        <v>92</v>
      </c>
      <c r="I13" s="2" t="s">
        <v>22</v>
      </c>
      <c r="J13" s="2" t="s">
        <v>23</v>
      </c>
      <c r="K13" s="2"/>
      <c r="L13" s="2"/>
      <c r="M13" s="2" t="s">
        <v>24</v>
      </c>
      <c r="N13" s="4"/>
    </row>
    <row r="14" customFormat="false" ht="57.75" hidden="false" customHeight="true" outlineLevel="0" collapsed="false">
      <c r="A14" s="2" t="s">
        <v>93</v>
      </c>
      <c r="B14" s="7" t="s">
        <v>75</v>
      </c>
      <c r="C14" s="2" t="s">
        <v>27</v>
      </c>
      <c r="D14" s="4" t="s">
        <v>94</v>
      </c>
      <c r="E14" s="5" t="s">
        <v>95</v>
      </c>
      <c r="F14" s="4" t="s">
        <v>96</v>
      </c>
      <c r="G14" s="4" t="s">
        <v>97</v>
      </c>
      <c r="H14" s="2" t="s">
        <v>21</v>
      </c>
      <c r="I14" s="2" t="s">
        <v>22</v>
      </c>
      <c r="J14" s="2" t="s">
        <v>23</v>
      </c>
      <c r="K14" s="2"/>
      <c r="L14" s="2"/>
      <c r="M14" s="2" t="s">
        <v>24</v>
      </c>
      <c r="N14" s="4"/>
    </row>
    <row r="15" customFormat="false" ht="57.75" hidden="false" customHeight="true" outlineLevel="0" collapsed="false">
      <c r="A15" s="2" t="s">
        <v>98</v>
      </c>
      <c r="B15" s="7" t="s">
        <v>75</v>
      </c>
      <c r="C15" s="2" t="s">
        <v>99</v>
      </c>
      <c r="D15" s="4" t="s">
        <v>100</v>
      </c>
      <c r="E15" s="5" t="s">
        <v>101</v>
      </c>
      <c r="F15" s="4" t="s">
        <v>102</v>
      </c>
      <c r="G15" s="4" t="s">
        <v>103</v>
      </c>
      <c r="H15" s="2" t="s">
        <v>104</v>
      </c>
      <c r="I15" s="2" t="s">
        <v>33</v>
      </c>
      <c r="J15" s="2" t="s">
        <v>23</v>
      </c>
      <c r="K15" s="2"/>
      <c r="L15" s="2"/>
      <c r="M15" s="2" t="s">
        <v>24</v>
      </c>
      <c r="N15" s="4"/>
    </row>
    <row r="16" customFormat="false" ht="57.75" hidden="false" customHeight="true" outlineLevel="0" collapsed="false">
      <c r="A16" s="2" t="s">
        <v>105</v>
      </c>
      <c r="B16" s="7" t="s">
        <v>75</v>
      </c>
      <c r="C16" s="2" t="s">
        <v>99</v>
      </c>
      <c r="D16" s="4" t="s">
        <v>106</v>
      </c>
      <c r="E16" s="5" t="s">
        <v>107</v>
      </c>
      <c r="F16" s="4" t="s">
        <v>108</v>
      </c>
      <c r="G16" s="4" t="s">
        <v>109</v>
      </c>
      <c r="H16" s="2" t="s">
        <v>104</v>
      </c>
      <c r="I16" s="2" t="s">
        <v>22</v>
      </c>
      <c r="J16" s="2" t="s">
        <v>23</v>
      </c>
      <c r="K16" s="2"/>
      <c r="L16" s="2"/>
      <c r="M16" s="2" t="s">
        <v>24</v>
      </c>
      <c r="N16" s="4"/>
    </row>
    <row r="17" customFormat="false" ht="57.75" hidden="false" customHeight="true" outlineLevel="0" collapsed="false">
      <c r="A17" s="2" t="s">
        <v>110</v>
      </c>
      <c r="B17" s="7" t="s">
        <v>75</v>
      </c>
      <c r="C17" s="2" t="s">
        <v>99</v>
      </c>
      <c r="D17" s="4" t="s">
        <v>111</v>
      </c>
      <c r="E17" s="5" t="s">
        <v>112</v>
      </c>
      <c r="F17" s="4" t="s">
        <v>113</v>
      </c>
      <c r="G17" s="4" t="s">
        <v>114</v>
      </c>
      <c r="H17" s="2" t="s">
        <v>80</v>
      </c>
      <c r="I17" s="2" t="s">
        <v>22</v>
      </c>
      <c r="J17" s="2" t="s">
        <v>23</v>
      </c>
      <c r="K17" s="2"/>
      <c r="L17" s="2"/>
      <c r="M17" s="2" t="s">
        <v>24</v>
      </c>
      <c r="N17" s="4"/>
    </row>
    <row r="18" customFormat="false" ht="57.75" hidden="false" customHeight="true" outlineLevel="0" collapsed="false">
      <c r="A18" s="2" t="s">
        <v>115</v>
      </c>
      <c r="B18" s="7" t="s">
        <v>75</v>
      </c>
      <c r="C18" s="2" t="s">
        <v>99</v>
      </c>
      <c r="D18" s="4" t="s">
        <v>116</v>
      </c>
      <c r="E18" s="5" t="s">
        <v>117</v>
      </c>
      <c r="F18" s="4" t="s">
        <v>118</v>
      </c>
      <c r="G18" s="4" t="s">
        <v>119</v>
      </c>
      <c r="H18" s="2" t="s">
        <v>92</v>
      </c>
      <c r="I18" s="2" t="s">
        <v>22</v>
      </c>
      <c r="J18" s="2" t="s">
        <v>23</v>
      </c>
      <c r="K18" s="2"/>
      <c r="L18" s="2"/>
      <c r="M18" s="2" t="s">
        <v>24</v>
      </c>
      <c r="N18" s="4"/>
    </row>
    <row r="19" customFormat="false" ht="57.75" hidden="false" customHeight="true" outlineLevel="0" collapsed="false">
      <c r="A19" s="2" t="s">
        <v>120</v>
      </c>
      <c r="B19" s="7" t="s">
        <v>75</v>
      </c>
      <c r="C19" s="2" t="s">
        <v>99</v>
      </c>
      <c r="D19" s="4" t="s">
        <v>121</v>
      </c>
      <c r="E19" s="5" t="s">
        <v>122</v>
      </c>
      <c r="F19" s="4" t="s">
        <v>123</v>
      </c>
      <c r="G19" s="4" t="s">
        <v>124</v>
      </c>
      <c r="H19" s="2" t="s">
        <v>104</v>
      </c>
      <c r="I19" s="2" t="s">
        <v>33</v>
      </c>
      <c r="J19" s="2" t="s">
        <v>23</v>
      </c>
      <c r="K19" s="2"/>
      <c r="L19" s="2"/>
      <c r="M19" s="2" t="s">
        <v>24</v>
      </c>
      <c r="N19" s="4"/>
    </row>
    <row r="20" customFormat="false" ht="57.75" hidden="false" customHeight="true" outlineLevel="0" collapsed="false">
      <c r="A20" s="2" t="s">
        <v>125</v>
      </c>
      <c r="B20" s="7" t="s">
        <v>75</v>
      </c>
      <c r="C20" s="2" t="s">
        <v>126</v>
      </c>
      <c r="D20" s="4" t="s">
        <v>127</v>
      </c>
      <c r="E20" s="5" t="s">
        <v>128</v>
      </c>
      <c r="F20" s="4" t="s">
        <v>129</v>
      </c>
      <c r="G20" s="4" t="s">
        <v>130</v>
      </c>
      <c r="H20" s="2" t="s">
        <v>45</v>
      </c>
      <c r="I20" s="2" t="s">
        <v>33</v>
      </c>
      <c r="J20" s="2" t="s">
        <v>23</v>
      </c>
      <c r="K20" s="2"/>
      <c r="L20" s="2"/>
      <c r="M20" s="2" t="s">
        <v>24</v>
      </c>
      <c r="N20" s="4"/>
    </row>
    <row r="21" customFormat="false" ht="57.75" hidden="false" customHeight="true" outlineLevel="0" collapsed="false">
      <c r="A21" s="2" t="s">
        <v>131</v>
      </c>
      <c r="B21" s="7" t="s">
        <v>75</v>
      </c>
      <c r="C21" s="2" t="s">
        <v>132</v>
      </c>
      <c r="D21" s="4" t="s">
        <v>133</v>
      </c>
      <c r="E21" s="5" t="s">
        <v>134</v>
      </c>
      <c r="F21" s="4" t="s">
        <v>135</v>
      </c>
      <c r="G21" s="4" t="s">
        <v>136</v>
      </c>
      <c r="H21" s="2" t="s">
        <v>57</v>
      </c>
      <c r="I21" s="2" t="s">
        <v>22</v>
      </c>
      <c r="J21" s="2" t="s">
        <v>23</v>
      </c>
      <c r="K21" s="2"/>
      <c r="L21" s="2"/>
      <c r="M21" s="2" t="s">
        <v>24</v>
      </c>
      <c r="N21" s="4"/>
    </row>
    <row r="22" customFormat="false" ht="57.75" hidden="false" customHeight="true" outlineLevel="0" collapsed="false">
      <c r="A22" s="2" t="s">
        <v>137</v>
      </c>
      <c r="B22" s="7" t="s">
        <v>75</v>
      </c>
      <c r="C22" s="2" t="s">
        <v>132</v>
      </c>
      <c r="D22" s="4" t="s">
        <v>138</v>
      </c>
      <c r="E22" s="5" t="s">
        <v>139</v>
      </c>
      <c r="F22" s="4" t="s">
        <v>140</v>
      </c>
      <c r="G22" s="4" t="s">
        <v>141</v>
      </c>
      <c r="H22" s="2" t="s">
        <v>80</v>
      </c>
      <c r="I22" s="2" t="s">
        <v>22</v>
      </c>
      <c r="J22" s="2" t="s">
        <v>23</v>
      </c>
      <c r="K22" s="2"/>
      <c r="L22" s="2"/>
      <c r="M22" s="2" t="s">
        <v>24</v>
      </c>
      <c r="N22" s="4"/>
    </row>
    <row r="23" customFormat="false" ht="57.75" hidden="false" customHeight="true" outlineLevel="0" collapsed="false">
      <c r="A23" s="2" t="s">
        <v>142</v>
      </c>
      <c r="B23" s="7" t="s">
        <v>75</v>
      </c>
      <c r="C23" s="2" t="s">
        <v>132</v>
      </c>
      <c r="D23" s="4" t="s">
        <v>143</v>
      </c>
      <c r="E23" s="5" t="s">
        <v>144</v>
      </c>
      <c r="F23" s="4" t="s">
        <v>145</v>
      </c>
      <c r="G23" s="4" t="s">
        <v>146</v>
      </c>
      <c r="H23" s="2" t="s">
        <v>104</v>
      </c>
      <c r="I23" s="2" t="s">
        <v>33</v>
      </c>
      <c r="J23" s="2" t="s">
        <v>23</v>
      </c>
      <c r="K23" s="2"/>
      <c r="L23" s="2"/>
      <c r="M23" s="2" t="s">
        <v>24</v>
      </c>
      <c r="N23" s="4"/>
    </row>
    <row r="24" customFormat="false" ht="57.75" hidden="false" customHeight="true" outlineLevel="0" collapsed="false">
      <c r="A24" s="2" t="s">
        <v>147</v>
      </c>
      <c r="B24" s="7" t="s">
        <v>75</v>
      </c>
      <c r="C24" s="2" t="s">
        <v>132</v>
      </c>
      <c r="D24" s="4" t="s">
        <v>148</v>
      </c>
      <c r="E24" s="5" t="s">
        <v>149</v>
      </c>
      <c r="F24" s="4" t="s">
        <v>150</v>
      </c>
      <c r="G24" s="4" t="s">
        <v>151</v>
      </c>
      <c r="H24" s="2" t="s">
        <v>104</v>
      </c>
      <c r="I24" s="2" t="s">
        <v>33</v>
      </c>
      <c r="J24" s="2" t="s">
        <v>23</v>
      </c>
      <c r="K24" s="2"/>
      <c r="L24" s="2"/>
      <c r="M24" s="2" t="s">
        <v>24</v>
      </c>
      <c r="N24" s="4"/>
    </row>
    <row r="25" customFormat="false" ht="57.75" hidden="false" customHeight="true" outlineLevel="0" collapsed="false">
      <c r="A25" s="2" t="s">
        <v>152</v>
      </c>
      <c r="B25" s="7" t="s">
        <v>75</v>
      </c>
      <c r="C25" s="2" t="s">
        <v>126</v>
      </c>
      <c r="D25" s="4" t="s">
        <v>153</v>
      </c>
      <c r="E25" s="5" t="s">
        <v>154</v>
      </c>
      <c r="F25" s="4" t="s">
        <v>155</v>
      </c>
      <c r="G25" s="4" t="s">
        <v>156</v>
      </c>
      <c r="H25" s="2" t="s">
        <v>32</v>
      </c>
      <c r="I25" s="2" t="s">
        <v>33</v>
      </c>
      <c r="J25" s="2" t="s">
        <v>23</v>
      </c>
      <c r="K25" s="2"/>
      <c r="L25" s="2"/>
      <c r="M25" s="2" t="s">
        <v>24</v>
      </c>
      <c r="N25" s="4"/>
    </row>
    <row r="26" customFormat="false" ht="57.75" hidden="false" customHeight="true" outlineLevel="0" collapsed="false">
      <c r="A26" s="2" t="s">
        <v>157</v>
      </c>
      <c r="B26" s="7" t="s">
        <v>75</v>
      </c>
      <c r="C26" s="2" t="s">
        <v>126</v>
      </c>
      <c r="D26" s="4" t="s">
        <v>158</v>
      </c>
      <c r="E26" s="5" t="s">
        <v>159</v>
      </c>
      <c r="F26" s="4" t="s">
        <v>160</v>
      </c>
      <c r="G26" s="4" t="s">
        <v>161</v>
      </c>
      <c r="H26" s="2" t="s">
        <v>162</v>
      </c>
      <c r="I26" s="2" t="s">
        <v>33</v>
      </c>
      <c r="J26" s="2" t="s">
        <v>23</v>
      </c>
      <c r="K26" s="2"/>
      <c r="L26" s="2"/>
      <c r="M26" s="2" t="s">
        <v>24</v>
      </c>
      <c r="N26" s="4"/>
    </row>
    <row r="27" customFormat="false" ht="57.75" hidden="false" customHeight="true" outlineLevel="0" collapsed="false">
      <c r="A27" s="2" t="s">
        <v>163</v>
      </c>
      <c r="B27" s="7" t="s">
        <v>75</v>
      </c>
      <c r="C27" s="2" t="s">
        <v>40</v>
      </c>
      <c r="D27" s="4" t="s">
        <v>164</v>
      </c>
      <c r="E27" s="5" t="s">
        <v>165</v>
      </c>
      <c r="F27" s="4" t="s">
        <v>166</v>
      </c>
      <c r="G27" s="4" t="s">
        <v>167</v>
      </c>
      <c r="H27" s="2" t="s">
        <v>104</v>
      </c>
      <c r="I27" s="2" t="s">
        <v>33</v>
      </c>
      <c r="J27" s="2" t="s">
        <v>23</v>
      </c>
      <c r="K27" s="2"/>
      <c r="L27" s="2"/>
      <c r="M27" s="2" t="s">
        <v>24</v>
      </c>
      <c r="N27" s="4"/>
    </row>
    <row r="28" customFormat="false" ht="57.75" hidden="false" customHeight="true" outlineLevel="0" collapsed="false">
      <c r="A28" s="2" t="s">
        <v>168</v>
      </c>
      <c r="B28" s="7" t="s">
        <v>75</v>
      </c>
      <c r="C28" s="2" t="s">
        <v>40</v>
      </c>
      <c r="D28" s="4" t="s">
        <v>169</v>
      </c>
      <c r="E28" s="5" t="s">
        <v>170</v>
      </c>
      <c r="F28" s="4" t="s">
        <v>171</v>
      </c>
      <c r="G28" s="4" t="s">
        <v>172</v>
      </c>
      <c r="H28" s="2" t="s">
        <v>32</v>
      </c>
      <c r="I28" s="2" t="s">
        <v>33</v>
      </c>
      <c r="J28" s="2" t="s">
        <v>23</v>
      </c>
      <c r="K28" s="2"/>
      <c r="L28" s="2"/>
      <c r="M28" s="2" t="s">
        <v>24</v>
      </c>
      <c r="N28" s="4"/>
    </row>
    <row r="29" customFormat="false" ht="57.75" hidden="false" customHeight="true" outlineLevel="0" collapsed="false">
      <c r="A29" s="2" t="s">
        <v>173</v>
      </c>
      <c r="B29" s="7" t="s">
        <v>75</v>
      </c>
      <c r="C29" s="2" t="s">
        <v>40</v>
      </c>
      <c r="D29" s="4" t="s">
        <v>174</v>
      </c>
      <c r="E29" s="5" t="s">
        <v>175</v>
      </c>
      <c r="F29" s="4" t="s">
        <v>176</v>
      </c>
      <c r="G29" s="4" t="s">
        <v>177</v>
      </c>
      <c r="H29" s="2" t="s">
        <v>92</v>
      </c>
      <c r="I29" s="2" t="s">
        <v>22</v>
      </c>
      <c r="J29" s="2" t="s">
        <v>23</v>
      </c>
      <c r="K29" s="2"/>
      <c r="L29" s="2"/>
      <c r="M29" s="2" t="s">
        <v>24</v>
      </c>
      <c r="N29" s="4"/>
    </row>
    <row r="30" customFormat="false" ht="57.75" hidden="false" customHeight="true" outlineLevel="0" collapsed="false">
      <c r="A30" s="2" t="s">
        <v>178</v>
      </c>
      <c r="B30" s="7" t="s">
        <v>75</v>
      </c>
      <c r="C30" s="2" t="s">
        <v>40</v>
      </c>
      <c r="D30" s="4" t="s">
        <v>179</v>
      </c>
      <c r="E30" s="5" t="s">
        <v>180</v>
      </c>
      <c r="F30" s="4" t="s">
        <v>181</v>
      </c>
      <c r="G30" s="4" t="s">
        <v>182</v>
      </c>
      <c r="H30" s="2" t="s">
        <v>104</v>
      </c>
      <c r="I30" s="2" t="s">
        <v>33</v>
      </c>
      <c r="J30" s="2" t="s">
        <v>23</v>
      </c>
      <c r="K30" s="2"/>
      <c r="L30" s="2"/>
      <c r="M30" s="2" t="s">
        <v>24</v>
      </c>
      <c r="N30" s="4"/>
    </row>
    <row r="31" customFormat="false" ht="57.75" hidden="false" customHeight="true" outlineLevel="0" collapsed="false">
      <c r="A31" s="2" t="s">
        <v>183</v>
      </c>
      <c r="B31" s="7" t="s">
        <v>75</v>
      </c>
      <c r="C31" s="2" t="s">
        <v>40</v>
      </c>
      <c r="D31" s="4" t="s">
        <v>184</v>
      </c>
      <c r="E31" s="5" t="s">
        <v>185</v>
      </c>
      <c r="F31" s="4" t="s">
        <v>186</v>
      </c>
      <c r="G31" s="4" t="s">
        <v>187</v>
      </c>
      <c r="H31" s="2" t="s">
        <v>188</v>
      </c>
      <c r="I31" s="2" t="s">
        <v>22</v>
      </c>
      <c r="J31" s="2" t="s">
        <v>23</v>
      </c>
      <c r="K31" s="2"/>
      <c r="L31" s="2"/>
      <c r="M31" s="2" t="s">
        <v>24</v>
      </c>
      <c r="N31" s="4"/>
    </row>
    <row r="32" customFormat="false" ht="57.75" hidden="false" customHeight="true" outlineLevel="0" collapsed="false">
      <c r="A32" s="2" t="s">
        <v>189</v>
      </c>
      <c r="B32" s="7" t="s">
        <v>75</v>
      </c>
      <c r="C32" s="2" t="s">
        <v>190</v>
      </c>
      <c r="D32" s="4" t="s">
        <v>191</v>
      </c>
      <c r="E32" s="5" t="s">
        <v>170</v>
      </c>
      <c r="F32" s="4" t="s">
        <v>192</v>
      </c>
      <c r="G32" s="4" t="s">
        <v>193</v>
      </c>
      <c r="H32" s="2" t="s">
        <v>21</v>
      </c>
      <c r="I32" s="2" t="s">
        <v>22</v>
      </c>
      <c r="J32" s="2" t="s">
        <v>23</v>
      </c>
      <c r="K32" s="2"/>
      <c r="L32" s="2"/>
      <c r="M32" s="2" t="s">
        <v>24</v>
      </c>
      <c r="N32" s="4"/>
    </row>
    <row r="33" customFormat="false" ht="57.75" hidden="false" customHeight="true" outlineLevel="0" collapsed="false">
      <c r="A33" s="2" t="s">
        <v>194</v>
      </c>
      <c r="B33" s="7" t="s">
        <v>75</v>
      </c>
      <c r="C33" s="2" t="s">
        <v>190</v>
      </c>
      <c r="D33" s="4" t="s">
        <v>195</v>
      </c>
      <c r="E33" s="5" t="s">
        <v>196</v>
      </c>
      <c r="F33" s="4" t="s">
        <v>197</v>
      </c>
      <c r="G33" s="4" t="s">
        <v>198</v>
      </c>
      <c r="H33" s="2" t="s">
        <v>45</v>
      </c>
      <c r="I33" s="2" t="s">
        <v>33</v>
      </c>
      <c r="J33" s="2" t="s">
        <v>23</v>
      </c>
      <c r="K33" s="2"/>
      <c r="L33" s="2"/>
      <c r="M33" s="2" t="s">
        <v>24</v>
      </c>
      <c r="N33" s="4"/>
    </row>
    <row r="34" customFormat="false" ht="57.75" hidden="false" customHeight="true" outlineLevel="0" collapsed="false">
      <c r="A34" s="2" t="s">
        <v>199</v>
      </c>
      <c r="B34" s="7" t="s">
        <v>75</v>
      </c>
      <c r="C34" s="2" t="s">
        <v>190</v>
      </c>
      <c r="D34" s="4" t="s">
        <v>200</v>
      </c>
      <c r="E34" s="5" t="s">
        <v>201</v>
      </c>
      <c r="F34" s="4" t="s">
        <v>202</v>
      </c>
      <c r="G34" s="4" t="s">
        <v>203</v>
      </c>
      <c r="H34" s="2" t="s">
        <v>45</v>
      </c>
      <c r="I34" s="2" t="s">
        <v>33</v>
      </c>
      <c r="J34" s="2" t="s">
        <v>23</v>
      </c>
      <c r="K34" s="2"/>
      <c r="L34" s="2"/>
      <c r="M34" s="2" t="s">
        <v>24</v>
      </c>
      <c r="N34" s="4"/>
    </row>
    <row r="35" customFormat="false" ht="57.75" hidden="false" customHeight="true" outlineLevel="0" collapsed="false">
      <c r="A35" s="2" t="s">
        <v>204</v>
      </c>
      <c r="B35" s="7" t="s">
        <v>75</v>
      </c>
      <c r="C35" s="2" t="s">
        <v>190</v>
      </c>
      <c r="D35" s="4" t="s">
        <v>205</v>
      </c>
      <c r="E35" s="5" t="s">
        <v>206</v>
      </c>
      <c r="F35" s="4" t="s">
        <v>207</v>
      </c>
      <c r="G35" s="4" t="s">
        <v>208</v>
      </c>
      <c r="H35" s="2" t="s">
        <v>45</v>
      </c>
      <c r="I35" s="2" t="s">
        <v>33</v>
      </c>
      <c r="J35" s="2" t="s">
        <v>23</v>
      </c>
      <c r="K35" s="2"/>
      <c r="L35" s="2"/>
      <c r="M35" s="2" t="s">
        <v>24</v>
      </c>
      <c r="N35" s="4"/>
    </row>
    <row r="36" customFormat="false" ht="57.75" hidden="false" customHeight="true" outlineLevel="0" collapsed="false">
      <c r="A36" s="2" t="s">
        <v>209</v>
      </c>
      <c r="B36" s="7" t="s">
        <v>75</v>
      </c>
      <c r="C36" s="2" t="s">
        <v>190</v>
      </c>
      <c r="D36" s="4" t="s">
        <v>210</v>
      </c>
      <c r="E36" s="5" t="s">
        <v>211</v>
      </c>
      <c r="F36" s="4" t="s">
        <v>212</v>
      </c>
      <c r="G36" s="4" t="s">
        <v>213</v>
      </c>
      <c r="H36" s="2" t="s">
        <v>214</v>
      </c>
      <c r="I36" s="2" t="s">
        <v>22</v>
      </c>
      <c r="J36" s="2" t="s">
        <v>23</v>
      </c>
      <c r="K36" s="2"/>
      <c r="L36" s="2"/>
      <c r="M36" s="2" t="s">
        <v>24</v>
      </c>
      <c r="N36" s="4"/>
    </row>
    <row r="37" customFormat="false" ht="57.75" hidden="false" customHeight="true" outlineLevel="0" collapsed="false">
      <c r="A37" s="2" t="s">
        <v>215</v>
      </c>
      <c r="B37" s="7" t="s">
        <v>75</v>
      </c>
      <c r="C37" s="2" t="s">
        <v>47</v>
      </c>
      <c r="D37" s="4" t="s">
        <v>216</v>
      </c>
      <c r="E37" s="5" t="s">
        <v>217</v>
      </c>
      <c r="F37" s="4" t="s">
        <v>218</v>
      </c>
      <c r="G37" s="4" t="s">
        <v>219</v>
      </c>
      <c r="H37" s="2" t="s">
        <v>32</v>
      </c>
      <c r="I37" s="2" t="s">
        <v>33</v>
      </c>
      <c r="J37" s="2" t="s">
        <v>23</v>
      </c>
      <c r="K37" s="2"/>
      <c r="L37" s="2"/>
      <c r="M37" s="2" t="s">
        <v>24</v>
      </c>
      <c r="N37" s="4"/>
    </row>
    <row r="38" customFormat="false" ht="57.75" hidden="false" customHeight="true" outlineLevel="0" collapsed="false">
      <c r="A38" s="2" t="s">
        <v>220</v>
      </c>
      <c r="B38" s="7" t="s">
        <v>75</v>
      </c>
      <c r="C38" s="2" t="s">
        <v>47</v>
      </c>
      <c r="D38" s="4" t="s">
        <v>221</v>
      </c>
      <c r="E38" s="5" t="s">
        <v>222</v>
      </c>
      <c r="F38" s="4" t="s">
        <v>223</v>
      </c>
      <c r="G38" s="4" t="s">
        <v>224</v>
      </c>
      <c r="H38" s="2" t="s">
        <v>32</v>
      </c>
      <c r="I38" s="2" t="s">
        <v>86</v>
      </c>
      <c r="J38" s="2" t="s">
        <v>23</v>
      </c>
      <c r="K38" s="2"/>
      <c r="L38" s="2"/>
      <c r="M38" s="2" t="s">
        <v>24</v>
      </c>
      <c r="N38" s="4"/>
    </row>
    <row r="39" customFormat="false" ht="57.75" hidden="false" customHeight="true" outlineLevel="0" collapsed="false">
      <c r="A39" s="2" t="s">
        <v>225</v>
      </c>
      <c r="B39" s="7" t="s">
        <v>75</v>
      </c>
      <c r="C39" s="2" t="s">
        <v>47</v>
      </c>
      <c r="D39" s="4" t="s">
        <v>226</v>
      </c>
      <c r="E39" s="5" t="s">
        <v>227</v>
      </c>
      <c r="F39" s="4" t="s">
        <v>228</v>
      </c>
      <c r="G39" s="4" t="s">
        <v>229</v>
      </c>
      <c r="H39" s="2" t="s">
        <v>57</v>
      </c>
      <c r="I39" s="2" t="s">
        <v>22</v>
      </c>
      <c r="J39" s="2" t="s">
        <v>23</v>
      </c>
      <c r="K39" s="2"/>
      <c r="L39" s="2"/>
      <c r="M39" s="2" t="s">
        <v>24</v>
      </c>
      <c r="N39" s="4"/>
    </row>
    <row r="40" customFormat="false" ht="57.75" hidden="false" customHeight="true" outlineLevel="0" collapsed="false">
      <c r="A40" s="2" t="s">
        <v>230</v>
      </c>
      <c r="B40" s="7" t="s">
        <v>75</v>
      </c>
      <c r="C40" s="2" t="s">
        <v>47</v>
      </c>
      <c r="D40" s="4" t="s">
        <v>231</v>
      </c>
      <c r="E40" s="5" t="s">
        <v>232</v>
      </c>
      <c r="F40" s="4" t="s">
        <v>233</v>
      </c>
      <c r="G40" s="4" t="s">
        <v>234</v>
      </c>
      <c r="H40" s="2" t="s">
        <v>104</v>
      </c>
      <c r="I40" s="2" t="s">
        <v>22</v>
      </c>
      <c r="J40" s="2" t="s">
        <v>23</v>
      </c>
      <c r="K40" s="2"/>
      <c r="L40" s="2"/>
      <c r="M40" s="2" t="s">
        <v>24</v>
      </c>
      <c r="N40" s="4"/>
    </row>
    <row r="41" customFormat="false" ht="57.75" hidden="false" customHeight="true" outlineLevel="0" collapsed="false">
      <c r="A41" s="2" t="s">
        <v>235</v>
      </c>
      <c r="B41" s="7" t="s">
        <v>75</v>
      </c>
      <c r="C41" s="2" t="s">
        <v>47</v>
      </c>
      <c r="D41" s="4" t="s">
        <v>236</v>
      </c>
      <c r="E41" s="5" t="s">
        <v>237</v>
      </c>
      <c r="F41" s="4" t="s">
        <v>238</v>
      </c>
      <c r="G41" s="4" t="s">
        <v>239</v>
      </c>
      <c r="H41" s="2" t="s">
        <v>80</v>
      </c>
      <c r="I41" s="2" t="s">
        <v>22</v>
      </c>
      <c r="J41" s="2" t="s">
        <v>23</v>
      </c>
      <c r="K41" s="2"/>
      <c r="L41" s="2"/>
      <c r="M41" s="2" t="s">
        <v>24</v>
      </c>
      <c r="N41" s="4"/>
    </row>
    <row r="42" customFormat="false" ht="57.75" hidden="false" customHeight="true" outlineLevel="0" collapsed="false">
      <c r="A42" s="2" t="s">
        <v>240</v>
      </c>
      <c r="B42" s="7" t="s">
        <v>75</v>
      </c>
      <c r="C42" s="2" t="s">
        <v>16</v>
      </c>
      <c r="D42" s="4" t="s">
        <v>241</v>
      </c>
      <c r="E42" s="5" t="s">
        <v>242</v>
      </c>
      <c r="F42" s="4" t="s">
        <v>243</v>
      </c>
      <c r="G42" s="4" t="s">
        <v>244</v>
      </c>
      <c r="H42" s="2" t="s">
        <v>104</v>
      </c>
      <c r="I42" s="2" t="s">
        <v>33</v>
      </c>
      <c r="J42" s="2" t="s">
        <v>23</v>
      </c>
      <c r="K42" s="2"/>
      <c r="L42" s="2"/>
      <c r="M42" s="2" t="s">
        <v>24</v>
      </c>
      <c r="N42" s="4"/>
    </row>
    <row r="43" customFormat="false" ht="57.75" hidden="false" customHeight="true" outlineLevel="0" collapsed="false">
      <c r="A43" s="2" t="s">
        <v>245</v>
      </c>
      <c r="B43" s="7" t="s">
        <v>75</v>
      </c>
      <c r="C43" s="2" t="s">
        <v>16</v>
      </c>
      <c r="D43" s="4" t="s">
        <v>246</v>
      </c>
      <c r="E43" s="5" t="s">
        <v>247</v>
      </c>
      <c r="F43" s="4" t="s">
        <v>248</v>
      </c>
      <c r="G43" s="4" t="s">
        <v>249</v>
      </c>
      <c r="H43" s="2" t="s">
        <v>57</v>
      </c>
      <c r="I43" s="2" t="s">
        <v>22</v>
      </c>
      <c r="J43" s="2" t="s">
        <v>23</v>
      </c>
      <c r="K43" s="2"/>
      <c r="L43" s="2"/>
      <c r="M43" s="2" t="s">
        <v>24</v>
      </c>
      <c r="N43" s="4"/>
    </row>
    <row r="44" customFormat="false" ht="57.75" hidden="false" customHeight="true" outlineLevel="0" collapsed="false">
      <c r="A44" s="2" t="s">
        <v>250</v>
      </c>
      <c r="B44" s="7" t="s">
        <v>75</v>
      </c>
      <c r="C44" s="2" t="s">
        <v>16</v>
      </c>
      <c r="D44" s="4" t="s">
        <v>251</v>
      </c>
      <c r="E44" s="5" t="s">
        <v>252</v>
      </c>
      <c r="F44" s="4" t="s">
        <v>253</v>
      </c>
      <c r="G44" s="4" t="s">
        <v>254</v>
      </c>
      <c r="H44" s="2" t="s">
        <v>57</v>
      </c>
      <c r="I44" s="2" t="s">
        <v>22</v>
      </c>
      <c r="J44" s="2" t="s">
        <v>23</v>
      </c>
      <c r="K44" s="2"/>
      <c r="L44" s="2"/>
      <c r="M44" s="2" t="s">
        <v>24</v>
      </c>
      <c r="N44" s="4"/>
    </row>
    <row r="45" customFormat="false" ht="57.75" hidden="false" customHeight="true" outlineLevel="0" collapsed="false">
      <c r="A45" s="2" t="s">
        <v>255</v>
      </c>
      <c r="B45" s="7" t="s">
        <v>75</v>
      </c>
      <c r="C45" s="2" t="s">
        <v>69</v>
      </c>
      <c r="D45" s="4" t="s">
        <v>256</v>
      </c>
      <c r="E45" s="5" t="s">
        <v>257</v>
      </c>
      <c r="F45" s="4" t="s">
        <v>258</v>
      </c>
      <c r="G45" s="4" t="s">
        <v>259</v>
      </c>
      <c r="H45" s="2" t="s">
        <v>45</v>
      </c>
      <c r="I45" s="2" t="s">
        <v>86</v>
      </c>
      <c r="J45" s="2" t="s">
        <v>23</v>
      </c>
      <c r="K45" s="2"/>
      <c r="L45" s="2"/>
      <c r="M45" s="2" t="s">
        <v>24</v>
      </c>
      <c r="N45" s="4"/>
    </row>
    <row r="46" customFormat="false" ht="57.75" hidden="false" customHeight="true" outlineLevel="0" collapsed="false">
      <c r="A46" s="2" t="s">
        <v>260</v>
      </c>
      <c r="B46" s="7" t="s">
        <v>75</v>
      </c>
      <c r="C46" s="2" t="s">
        <v>69</v>
      </c>
      <c r="D46" s="4" t="s">
        <v>261</v>
      </c>
      <c r="E46" s="5" t="s">
        <v>262</v>
      </c>
      <c r="F46" s="4" t="s">
        <v>263</v>
      </c>
      <c r="G46" s="4" t="s">
        <v>264</v>
      </c>
      <c r="H46" s="2" t="s">
        <v>265</v>
      </c>
      <c r="I46" s="2" t="s">
        <v>86</v>
      </c>
      <c r="J46" s="2" t="s">
        <v>23</v>
      </c>
      <c r="K46" s="2"/>
      <c r="L46" s="2"/>
      <c r="M46" s="2" t="s">
        <v>24</v>
      </c>
      <c r="N46" s="4"/>
    </row>
    <row r="47" customFormat="false" ht="57.75" hidden="false" customHeight="true" outlineLevel="0" collapsed="false">
      <c r="A47" s="2" t="s">
        <v>266</v>
      </c>
      <c r="B47" s="8" t="s">
        <v>267</v>
      </c>
      <c r="C47" s="2" t="s">
        <v>27</v>
      </c>
      <c r="D47" s="4" t="s">
        <v>268</v>
      </c>
      <c r="E47" s="5" t="s">
        <v>269</v>
      </c>
      <c r="F47" s="4" t="s">
        <v>270</v>
      </c>
      <c r="G47" s="4" t="s">
        <v>271</v>
      </c>
      <c r="H47" s="2" t="s">
        <v>80</v>
      </c>
      <c r="I47" s="2" t="s">
        <v>22</v>
      </c>
      <c r="J47" s="2" t="s">
        <v>23</v>
      </c>
      <c r="K47" s="2"/>
      <c r="L47" s="2"/>
      <c r="M47" s="2" t="s">
        <v>24</v>
      </c>
      <c r="N47" s="4"/>
    </row>
    <row r="48" customFormat="false" ht="57.75" hidden="false" customHeight="true" outlineLevel="0" collapsed="false">
      <c r="A48" s="2" t="s">
        <v>272</v>
      </c>
      <c r="B48" s="8" t="s">
        <v>267</v>
      </c>
      <c r="C48" s="2" t="s">
        <v>27</v>
      </c>
      <c r="D48" s="4" t="s">
        <v>273</v>
      </c>
      <c r="E48" s="5" t="s">
        <v>274</v>
      </c>
      <c r="F48" s="4" t="s">
        <v>275</v>
      </c>
      <c r="G48" s="4" t="s">
        <v>276</v>
      </c>
      <c r="H48" s="2" t="s">
        <v>45</v>
      </c>
      <c r="I48" s="2" t="s">
        <v>33</v>
      </c>
      <c r="J48" s="2" t="s">
        <v>23</v>
      </c>
      <c r="K48" s="2"/>
      <c r="L48" s="2"/>
      <c r="M48" s="2" t="s">
        <v>24</v>
      </c>
      <c r="N48" s="4"/>
    </row>
    <row r="49" customFormat="false" ht="57.75" hidden="false" customHeight="true" outlineLevel="0" collapsed="false">
      <c r="A49" s="2" t="s">
        <v>277</v>
      </c>
      <c r="B49" s="8" t="s">
        <v>267</v>
      </c>
      <c r="C49" s="2" t="s">
        <v>27</v>
      </c>
      <c r="D49" s="4" t="s">
        <v>278</v>
      </c>
      <c r="E49" s="5" t="s">
        <v>279</v>
      </c>
      <c r="F49" s="4" t="s">
        <v>280</v>
      </c>
      <c r="G49" s="4" t="s">
        <v>281</v>
      </c>
      <c r="H49" s="2" t="s">
        <v>92</v>
      </c>
      <c r="I49" s="2" t="s">
        <v>33</v>
      </c>
      <c r="J49" s="2" t="s">
        <v>23</v>
      </c>
      <c r="K49" s="2"/>
      <c r="L49" s="2"/>
      <c r="M49" s="2" t="s">
        <v>24</v>
      </c>
      <c r="N49" s="4"/>
    </row>
    <row r="50" customFormat="false" ht="57.75" hidden="false" customHeight="true" outlineLevel="0" collapsed="false">
      <c r="A50" s="2" t="s">
        <v>282</v>
      </c>
      <c r="B50" s="8" t="s">
        <v>267</v>
      </c>
      <c r="C50" s="2" t="s">
        <v>27</v>
      </c>
      <c r="D50" s="4" t="s">
        <v>283</v>
      </c>
      <c r="E50" s="5" t="s">
        <v>284</v>
      </c>
      <c r="F50" s="4" t="s">
        <v>285</v>
      </c>
      <c r="G50" s="4" t="s">
        <v>286</v>
      </c>
      <c r="H50" s="2" t="s">
        <v>45</v>
      </c>
      <c r="I50" s="2" t="s">
        <v>86</v>
      </c>
      <c r="J50" s="2" t="s">
        <v>23</v>
      </c>
      <c r="K50" s="2"/>
      <c r="L50" s="2"/>
      <c r="M50" s="2" t="s">
        <v>24</v>
      </c>
      <c r="N50" s="4"/>
    </row>
    <row r="51" customFormat="false" ht="57.75" hidden="false" customHeight="true" outlineLevel="0" collapsed="false">
      <c r="A51" s="2" t="s">
        <v>287</v>
      </c>
      <c r="B51" s="8" t="s">
        <v>267</v>
      </c>
      <c r="C51" s="2" t="s">
        <v>27</v>
      </c>
      <c r="D51" s="4" t="s">
        <v>288</v>
      </c>
      <c r="E51" s="5" t="s">
        <v>289</v>
      </c>
      <c r="F51" s="4" t="s">
        <v>290</v>
      </c>
      <c r="G51" s="4" t="s">
        <v>291</v>
      </c>
      <c r="H51" s="2" t="s">
        <v>21</v>
      </c>
      <c r="I51" s="2" t="s">
        <v>86</v>
      </c>
      <c r="J51" s="2" t="s">
        <v>23</v>
      </c>
      <c r="K51" s="2"/>
      <c r="L51" s="2"/>
      <c r="M51" s="2" t="s">
        <v>24</v>
      </c>
      <c r="N51" s="4"/>
    </row>
    <row r="52" customFormat="false" ht="57.75" hidden="false" customHeight="true" outlineLevel="0" collapsed="false">
      <c r="A52" s="2" t="s">
        <v>292</v>
      </c>
      <c r="B52" s="8" t="s">
        <v>267</v>
      </c>
      <c r="C52" s="2" t="s">
        <v>99</v>
      </c>
      <c r="D52" s="4" t="s">
        <v>293</v>
      </c>
      <c r="E52" s="5" t="s">
        <v>294</v>
      </c>
      <c r="F52" s="4" t="s">
        <v>295</v>
      </c>
      <c r="G52" s="4" t="s">
        <v>296</v>
      </c>
      <c r="H52" s="2" t="s">
        <v>92</v>
      </c>
      <c r="I52" s="2" t="s">
        <v>22</v>
      </c>
      <c r="J52" s="2" t="s">
        <v>23</v>
      </c>
      <c r="K52" s="2"/>
      <c r="L52" s="2"/>
      <c r="M52" s="2" t="s">
        <v>24</v>
      </c>
      <c r="N52" s="4"/>
    </row>
    <row r="53" customFormat="false" ht="57.75" hidden="false" customHeight="true" outlineLevel="0" collapsed="false">
      <c r="A53" s="2" t="s">
        <v>297</v>
      </c>
      <c r="B53" s="8" t="s">
        <v>267</v>
      </c>
      <c r="C53" s="2" t="s">
        <v>99</v>
      </c>
      <c r="D53" s="4" t="s">
        <v>298</v>
      </c>
      <c r="E53" s="5" t="s">
        <v>299</v>
      </c>
      <c r="F53" s="4" t="s">
        <v>300</v>
      </c>
      <c r="G53" s="4" t="s">
        <v>301</v>
      </c>
      <c r="H53" s="2" t="s">
        <v>57</v>
      </c>
      <c r="I53" s="2" t="s">
        <v>33</v>
      </c>
      <c r="J53" s="2" t="s">
        <v>23</v>
      </c>
      <c r="K53" s="2"/>
      <c r="L53" s="2"/>
      <c r="M53" s="2" t="s">
        <v>24</v>
      </c>
      <c r="N53" s="4"/>
    </row>
    <row r="54" customFormat="false" ht="57.75" hidden="false" customHeight="true" outlineLevel="0" collapsed="false">
      <c r="A54" s="2" t="s">
        <v>302</v>
      </c>
      <c r="B54" s="8" t="s">
        <v>267</v>
      </c>
      <c r="C54" s="2" t="s">
        <v>99</v>
      </c>
      <c r="D54" s="4" t="s">
        <v>303</v>
      </c>
      <c r="E54" s="5" t="s">
        <v>304</v>
      </c>
      <c r="F54" s="4" t="s">
        <v>305</v>
      </c>
      <c r="G54" s="4" t="s">
        <v>306</v>
      </c>
      <c r="H54" s="2" t="s">
        <v>21</v>
      </c>
      <c r="I54" s="2" t="s">
        <v>33</v>
      </c>
      <c r="J54" s="2" t="s">
        <v>23</v>
      </c>
      <c r="K54" s="2"/>
      <c r="L54" s="2"/>
      <c r="M54" s="2" t="s">
        <v>24</v>
      </c>
      <c r="N54" s="4"/>
    </row>
    <row r="55" customFormat="false" ht="57.75" hidden="false" customHeight="true" outlineLevel="0" collapsed="false">
      <c r="A55" s="2" t="s">
        <v>307</v>
      </c>
      <c r="B55" s="8" t="s">
        <v>267</v>
      </c>
      <c r="C55" s="2" t="s">
        <v>99</v>
      </c>
      <c r="D55" s="4" t="s">
        <v>308</v>
      </c>
      <c r="E55" s="5" t="s">
        <v>309</v>
      </c>
      <c r="F55" s="4" t="s">
        <v>310</v>
      </c>
      <c r="G55" s="4" t="s">
        <v>311</v>
      </c>
      <c r="H55" s="2" t="s">
        <v>21</v>
      </c>
      <c r="I55" s="2" t="s">
        <v>86</v>
      </c>
      <c r="J55" s="2" t="s">
        <v>23</v>
      </c>
      <c r="K55" s="2"/>
      <c r="L55" s="2"/>
      <c r="M55" s="2" t="s">
        <v>24</v>
      </c>
      <c r="N55" s="4"/>
    </row>
    <row r="56" customFormat="false" ht="57.75" hidden="false" customHeight="true" outlineLevel="0" collapsed="false">
      <c r="A56" s="2" t="s">
        <v>312</v>
      </c>
      <c r="B56" s="8" t="s">
        <v>267</v>
      </c>
      <c r="C56" s="2" t="s">
        <v>126</v>
      </c>
      <c r="D56" s="4" t="s">
        <v>313</v>
      </c>
      <c r="E56" s="5" t="s">
        <v>314</v>
      </c>
      <c r="F56" s="4" t="s">
        <v>315</v>
      </c>
      <c r="G56" s="4" t="s">
        <v>316</v>
      </c>
      <c r="H56" s="2" t="s">
        <v>104</v>
      </c>
      <c r="I56" s="2" t="s">
        <v>33</v>
      </c>
      <c r="J56" s="2" t="s">
        <v>23</v>
      </c>
      <c r="K56" s="2"/>
      <c r="L56" s="2"/>
      <c r="M56" s="2" t="s">
        <v>24</v>
      </c>
      <c r="N56" s="4"/>
    </row>
    <row r="57" customFormat="false" ht="57.75" hidden="false" customHeight="true" outlineLevel="0" collapsed="false">
      <c r="A57" s="2" t="s">
        <v>317</v>
      </c>
      <c r="B57" s="8" t="s">
        <v>267</v>
      </c>
      <c r="C57" s="2" t="s">
        <v>126</v>
      </c>
      <c r="D57" s="4" t="s">
        <v>318</v>
      </c>
      <c r="E57" s="5" t="s">
        <v>319</v>
      </c>
      <c r="F57" s="4" t="s">
        <v>320</v>
      </c>
      <c r="G57" s="4" t="s">
        <v>321</v>
      </c>
      <c r="H57" s="2" t="s">
        <v>104</v>
      </c>
      <c r="I57" s="2" t="s">
        <v>22</v>
      </c>
      <c r="J57" s="2" t="s">
        <v>23</v>
      </c>
      <c r="K57" s="2"/>
      <c r="L57" s="2"/>
      <c r="M57" s="2" t="s">
        <v>24</v>
      </c>
      <c r="N57" s="4"/>
    </row>
    <row r="58" customFormat="false" ht="57.75" hidden="false" customHeight="true" outlineLevel="0" collapsed="false">
      <c r="A58" s="2" t="s">
        <v>322</v>
      </c>
      <c r="B58" s="8" t="s">
        <v>267</v>
      </c>
      <c r="C58" s="2" t="s">
        <v>126</v>
      </c>
      <c r="D58" s="4" t="s">
        <v>323</v>
      </c>
      <c r="E58" s="5" t="s">
        <v>324</v>
      </c>
      <c r="F58" s="4" t="s">
        <v>325</v>
      </c>
      <c r="G58" s="4" t="s">
        <v>326</v>
      </c>
      <c r="H58" s="2" t="s">
        <v>80</v>
      </c>
      <c r="I58" s="2" t="s">
        <v>33</v>
      </c>
      <c r="J58" s="2" t="s">
        <v>23</v>
      </c>
      <c r="K58" s="2"/>
      <c r="L58" s="2"/>
      <c r="M58" s="2" t="s">
        <v>24</v>
      </c>
      <c r="N58" s="4"/>
    </row>
    <row r="59" customFormat="false" ht="57.75" hidden="false" customHeight="true" outlineLevel="0" collapsed="false">
      <c r="A59" s="2" t="s">
        <v>327</v>
      </c>
      <c r="B59" s="8" t="s">
        <v>267</v>
      </c>
      <c r="C59" s="2" t="s">
        <v>132</v>
      </c>
      <c r="D59" s="4" t="s">
        <v>328</v>
      </c>
      <c r="E59" s="5" t="s">
        <v>329</v>
      </c>
      <c r="F59" s="4" t="s">
        <v>330</v>
      </c>
      <c r="G59" s="4" t="s">
        <v>331</v>
      </c>
      <c r="H59" s="2" t="s">
        <v>45</v>
      </c>
      <c r="I59" s="2" t="s">
        <v>86</v>
      </c>
      <c r="J59" s="2" t="s">
        <v>23</v>
      </c>
      <c r="K59" s="2"/>
      <c r="L59" s="2"/>
      <c r="M59" s="2" t="s">
        <v>24</v>
      </c>
      <c r="N59" s="4"/>
    </row>
    <row r="60" customFormat="false" ht="57.75" hidden="false" customHeight="true" outlineLevel="0" collapsed="false">
      <c r="A60" s="2" t="s">
        <v>332</v>
      </c>
      <c r="B60" s="8" t="s">
        <v>267</v>
      </c>
      <c r="C60" s="2" t="s">
        <v>132</v>
      </c>
      <c r="D60" s="4" t="s">
        <v>333</v>
      </c>
      <c r="E60" s="5" t="s">
        <v>334</v>
      </c>
      <c r="F60" s="4" t="s">
        <v>335</v>
      </c>
      <c r="G60" s="4" t="s">
        <v>336</v>
      </c>
      <c r="H60" s="2" t="s">
        <v>214</v>
      </c>
      <c r="I60" s="2" t="s">
        <v>22</v>
      </c>
      <c r="J60" s="2" t="s">
        <v>23</v>
      </c>
      <c r="K60" s="2"/>
      <c r="L60" s="2"/>
      <c r="M60" s="2" t="s">
        <v>24</v>
      </c>
      <c r="N60" s="4"/>
    </row>
    <row r="61" customFormat="false" ht="57.75" hidden="false" customHeight="true" outlineLevel="0" collapsed="false">
      <c r="A61" s="2" t="s">
        <v>337</v>
      </c>
      <c r="B61" s="8" t="s">
        <v>267</v>
      </c>
      <c r="C61" s="2" t="s">
        <v>132</v>
      </c>
      <c r="D61" s="4" t="s">
        <v>338</v>
      </c>
      <c r="E61" s="5" t="s">
        <v>339</v>
      </c>
      <c r="F61" s="4" t="s">
        <v>340</v>
      </c>
      <c r="G61" s="4" t="s">
        <v>341</v>
      </c>
      <c r="H61" s="2" t="s">
        <v>92</v>
      </c>
      <c r="I61" s="2" t="s">
        <v>33</v>
      </c>
      <c r="J61" s="2" t="s">
        <v>23</v>
      </c>
      <c r="K61" s="2"/>
      <c r="L61" s="2"/>
      <c r="M61" s="2" t="s">
        <v>24</v>
      </c>
      <c r="N61" s="4"/>
    </row>
    <row r="62" customFormat="false" ht="57.75" hidden="false" customHeight="true" outlineLevel="0" collapsed="false">
      <c r="A62" s="2" t="s">
        <v>342</v>
      </c>
      <c r="B62" s="8" t="s">
        <v>267</v>
      </c>
      <c r="C62" s="2" t="s">
        <v>132</v>
      </c>
      <c r="D62" s="4" t="s">
        <v>343</v>
      </c>
      <c r="E62" s="5" t="s">
        <v>344</v>
      </c>
      <c r="F62" s="4" t="s">
        <v>345</v>
      </c>
      <c r="G62" s="4" t="s">
        <v>346</v>
      </c>
      <c r="H62" s="2" t="s">
        <v>21</v>
      </c>
      <c r="I62" s="2" t="s">
        <v>33</v>
      </c>
      <c r="J62" s="2" t="s">
        <v>23</v>
      </c>
      <c r="K62" s="2"/>
      <c r="L62" s="2"/>
      <c r="M62" s="2" t="s">
        <v>24</v>
      </c>
      <c r="N62" s="4"/>
    </row>
    <row r="63" customFormat="false" ht="57.75" hidden="false" customHeight="true" outlineLevel="0" collapsed="false">
      <c r="A63" s="2" t="s">
        <v>347</v>
      </c>
      <c r="B63" s="8" t="s">
        <v>267</v>
      </c>
      <c r="C63" s="2" t="s">
        <v>132</v>
      </c>
      <c r="D63" s="4" t="s">
        <v>348</v>
      </c>
      <c r="E63" s="5" t="s">
        <v>349</v>
      </c>
      <c r="F63" s="4" t="s">
        <v>350</v>
      </c>
      <c r="G63" s="4" t="s">
        <v>351</v>
      </c>
      <c r="H63" s="2" t="s">
        <v>57</v>
      </c>
      <c r="I63" s="2" t="s">
        <v>86</v>
      </c>
      <c r="J63" s="2" t="s">
        <v>23</v>
      </c>
      <c r="K63" s="2"/>
      <c r="L63" s="2"/>
      <c r="M63" s="2" t="s">
        <v>24</v>
      </c>
      <c r="N63" s="4"/>
    </row>
    <row r="64" customFormat="false" ht="57.75" hidden="false" customHeight="true" outlineLevel="0" collapsed="false">
      <c r="A64" s="2" t="s">
        <v>352</v>
      </c>
      <c r="B64" s="8" t="s">
        <v>267</v>
      </c>
      <c r="C64" s="2" t="s">
        <v>126</v>
      </c>
      <c r="D64" s="4" t="s">
        <v>353</v>
      </c>
      <c r="E64" s="5" t="s">
        <v>354</v>
      </c>
      <c r="F64" s="4" t="s">
        <v>355</v>
      </c>
      <c r="G64" s="4" t="s">
        <v>356</v>
      </c>
      <c r="H64" s="2" t="s">
        <v>21</v>
      </c>
      <c r="I64" s="2" t="s">
        <v>33</v>
      </c>
      <c r="J64" s="2" t="s">
        <v>23</v>
      </c>
      <c r="K64" s="2"/>
      <c r="L64" s="2"/>
      <c r="M64" s="2" t="s">
        <v>24</v>
      </c>
      <c r="N64" s="4"/>
    </row>
    <row r="65" customFormat="false" ht="57.75" hidden="false" customHeight="true" outlineLevel="0" collapsed="false">
      <c r="A65" s="2" t="s">
        <v>357</v>
      </c>
      <c r="B65" s="8" t="s">
        <v>267</v>
      </c>
      <c r="C65" s="2" t="s">
        <v>126</v>
      </c>
      <c r="D65" s="4" t="s">
        <v>358</v>
      </c>
      <c r="E65" s="5" t="s">
        <v>359</v>
      </c>
      <c r="F65" s="4" t="s">
        <v>360</v>
      </c>
      <c r="G65" s="4" t="s">
        <v>361</v>
      </c>
      <c r="H65" s="2" t="s">
        <v>21</v>
      </c>
      <c r="I65" s="2" t="s">
        <v>33</v>
      </c>
      <c r="J65" s="2" t="s">
        <v>23</v>
      </c>
      <c r="K65" s="2"/>
      <c r="L65" s="2"/>
      <c r="M65" s="2" t="s">
        <v>24</v>
      </c>
      <c r="N65" s="4"/>
    </row>
    <row r="66" customFormat="false" ht="57.75" hidden="false" customHeight="true" outlineLevel="0" collapsed="false">
      <c r="A66" s="2" t="s">
        <v>362</v>
      </c>
      <c r="B66" s="8" t="s">
        <v>267</v>
      </c>
      <c r="C66" s="2" t="s">
        <v>126</v>
      </c>
      <c r="D66" s="4" t="s">
        <v>363</v>
      </c>
      <c r="E66" s="5" t="s">
        <v>364</v>
      </c>
      <c r="F66" s="4" t="s">
        <v>365</v>
      </c>
      <c r="G66" s="4" t="s">
        <v>366</v>
      </c>
      <c r="H66" s="2" t="s">
        <v>92</v>
      </c>
      <c r="I66" s="2" t="s">
        <v>33</v>
      </c>
      <c r="J66" s="2" t="s">
        <v>23</v>
      </c>
      <c r="K66" s="2"/>
      <c r="L66" s="2"/>
      <c r="M66" s="2" t="s">
        <v>24</v>
      </c>
      <c r="N66" s="4"/>
    </row>
    <row r="67" customFormat="false" ht="57.75" hidden="false" customHeight="true" outlineLevel="0" collapsed="false">
      <c r="A67" s="2" t="s">
        <v>367</v>
      </c>
      <c r="B67" s="8" t="s">
        <v>267</v>
      </c>
      <c r="C67" s="2" t="s">
        <v>40</v>
      </c>
      <c r="D67" s="4" t="s">
        <v>368</v>
      </c>
      <c r="E67" s="5" t="s">
        <v>369</v>
      </c>
      <c r="F67" s="4" t="s">
        <v>370</v>
      </c>
      <c r="G67" s="4" t="s">
        <v>371</v>
      </c>
      <c r="H67" s="2" t="s">
        <v>92</v>
      </c>
      <c r="I67" s="2" t="s">
        <v>33</v>
      </c>
      <c r="J67" s="2" t="s">
        <v>23</v>
      </c>
      <c r="K67" s="2"/>
      <c r="L67" s="2"/>
      <c r="M67" s="2" t="s">
        <v>24</v>
      </c>
      <c r="N67" s="4"/>
    </row>
    <row r="68" customFormat="false" ht="57.75" hidden="false" customHeight="true" outlineLevel="0" collapsed="false">
      <c r="A68" s="2" t="s">
        <v>372</v>
      </c>
      <c r="B68" s="8" t="s">
        <v>267</v>
      </c>
      <c r="C68" s="2" t="s">
        <v>40</v>
      </c>
      <c r="D68" s="4" t="s">
        <v>373</v>
      </c>
      <c r="E68" s="5" t="s">
        <v>374</v>
      </c>
      <c r="F68" s="4" t="s">
        <v>375</v>
      </c>
      <c r="G68" s="4" t="s">
        <v>376</v>
      </c>
      <c r="H68" s="2" t="s">
        <v>57</v>
      </c>
      <c r="I68" s="2" t="s">
        <v>33</v>
      </c>
      <c r="J68" s="2" t="s">
        <v>23</v>
      </c>
      <c r="K68" s="2"/>
      <c r="L68" s="2"/>
      <c r="M68" s="2" t="s">
        <v>24</v>
      </c>
      <c r="N68" s="4"/>
    </row>
    <row r="69" customFormat="false" ht="57.75" hidden="false" customHeight="true" outlineLevel="0" collapsed="false">
      <c r="A69" s="2" t="s">
        <v>377</v>
      </c>
      <c r="B69" s="8" t="s">
        <v>267</v>
      </c>
      <c r="C69" s="2" t="s">
        <v>40</v>
      </c>
      <c r="D69" s="4" t="s">
        <v>378</v>
      </c>
      <c r="E69" s="5" t="s">
        <v>379</v>
      </c>
      <c r="F69" s="4" t="s">
        <v>380</v>
      </c>
      <c r="G69" s="4" t="s">
        <v>381</v>
      </c>
      <c r="H69" s="2" t="s">
        <v>92</v>
      </c>
      <c r="I69" s="2" t="s">
        <v>22</v>
      </c>
      <c r="J69" s="2" t="s">
        <v>23</v>
      </c>
      <c r="K69" s="2"/>
      <c r="L69" s="2"/>
      <c r="M69" s="2" t="s">
        <v>24</v>
      </c>
      <c r="N69" s="4"/>
    </row>
    <row r="70" customFormat="false" ht="57.75" hidden="false" customHeight="true" outlineLevel="0" collapsed="false">
      <c r="A70" s="2" t="s">
        <v>382</v>
      </c>
      <c r="B70" s="8" t="s">
        <v>267</v>
      </c>
      <c r="C70" s="2" t="s">
        <v>40</v>
      </c>
      <c r="D70" s="4" t="s">
        <v>383</v>
      </c>
      <c r="E70" s="5" t="s">
        <v>384</v>
      </c>
      <c r="F70" s="4" t="s">
        <v>385</v>
      </c>
      <c r="G70" s="4" t="s">
        <v>386</v>
      </c>
      <c r="H70" s="2" t="s">
        <v>188</v>
      </c>
      <c r="I70" s="2" t="s">
        <v>22</v>
      </c>
      <c r="J70" s="2" t="s">
        <v>23</v>
      </c>
      <c r="K70" s="2"/>
      <c r="L70" s="2"/>
      <c r="M70" s="2" t="s">
        <v>24</v>
      </c>
      <c r="N70" s="4"/>
    </row>
    <row r="71" customFormat="false" ht="57.75" hidden="false" customHeight="true" outlineLevel="0" collapsed="false">
      <c r="A71" s="2" t="s">
        <v>387</v>
      </c>
      <c r="B71" s="8" t="s">
        <v>267</v>
      </c>
      <c r="C71" s="2" t="s">
        <v>190</v>
      </c>
      <c r="D71" s="4" t="s">
        <v>388</v>
      </c>
      <c r="E71" s="5" t="s">
        <v>389</v>
      </c>
      <c r="F71" s="4" t="s">
        <v>390</v>
      </c>
      <c r="G71" s="4" t="s">
        <v>391</v>
      </c>
      <c r="H71" s="2" t="s">
        <v>45</v>
      </c>
      <c r="I71" s="2" t="s">
        <v>33</v>
      </c>
      <c r="J71" s="2" t="s">
        <v>23</v>
      </c>
      <c r="K71" s="2"/>
      <c r="L71" s="2"/>
      <c r="M71" s="2" t="s">
        <v>24</v>
      </c>
      <c r="N71" s="4"/>
    </row>
    <row r="72" customFormat="false" ht="57.75" hidden="false" customHeight="true" outlineLevel="0" collapsed="false">
      <c r="A72" s="2" t="s">
        <v>392</v>
      </c>
      <c r="B72" s="8" t="s">
        <v>267</v>
      </c>
      <c r="C72" s="2" t="s">
        <v>190</v>
      </c>
      <c r="D72" s="4" t="s">
        <v>393</v>
      </c>
      <c r="E72" s="5" t="s">
        <v>170</v>
      </c>
      <c r="F72" s="4" t="s">
        <v>394</v>
      </c>
      <c r="G72" s="4" t="s">
        <v>395</v>
      </c>
      <c r="H72" s="2" t="s">
        <v>45</v>
      </c>
      <c r="I72" s="2" t="s">
        <v>33</v>
      </c>
      <c r="J72" s="2" t="s">
        <v>23</v>
      </c>
      <c r="K72" s="2"/>
      <c r="L72" s="2"/>
      <c r="M72" s="2" t="s">
        <v>24</v>
      </c>
      <c r="N72" s="4"/>
    </row>
    <row r="73" customFormat="false" ht="57.75" hidden="false" customHeight="true" outlineLevel="0" collapsed="false">
      <c r="A73" s="2" t="s">
        <v>396</v>
      </c>
      <c r="B73" s="8" t="s">
        <v>267</v>
      </c>
      <c r="C73" s="2" t="s">
        <v>190</v>
      </c>
      <c r="D73" s="4" t="s">
        <v>397</v>
      </c>
      <c r="E73" s="5" t="s">
        <v>398</v>
      </c>
      <c r="F73" s="4" t="s">
        <v>399</v>
      </c>
      <c r="G73" s="4" t="s">
        <v>400</v>
      </c>
      <c r="H73" s="2" t="s">
        <v>92</v>
      </c>
      <c r="I73" s="2" t="s">
        <v>33</v>
      </c>
      <c r="J73" s="2" t="s">
        <v>23</v>
      </c>
      <c r="K73" s="2"/>
      <c r="L73" s="2"/>
      <c r="M73" s="2" t="s">
        <v>24</v>
      </c>
      <c r="N73" s="4"/>
    </row>
    <row r="74" customFormat="false" ht="57.75" hidden="false" customHeight="true" outlineLevel="0" collapsed="false">
      <c r="A74" s="2" t="s">
        <v>401</v>
      </c>
      <c r="B74" s="8" t="s">
        <v>267</v>
      </c>
      <c r="C74" s="2" t="s">
        <v>190</v>
      </c>
      <c r="D74" s="4" t="s">
        <v>402</v>
      </c>
      <c r="E74" s="5" t="s">
        <v>403</v>
      </c>
      <c r="F74" s="4" t="s">
        <v>404</v>
      </c>
      <c r="G74" s="4" t="s">
        <v>405</v>
      </c>
      <c r="H74" s="2" t="s">
        <v>92</v>
      </c>
      <c r="I74" s="2" t="s">
        <v>22</v>
      </c>
      <c r="J74" s="2" t="s">
        <v>23</v>
      </c>
      <c r="K74" s="2"/>
      <c r="L74" s="2"/>
      <c r="M74" s="2" t="s">
        <v>24</v>
      </c>
      <c r="N74" s="4"/>
    </row>
    <row r="75" customFormat="false" ht="57.75" hidden="false" customHeight="true" outlineLevel="0" collapsed="false">
      <c r="A75" s="2" t="s">
        <v>406</v>
      </c>
      <c r="B75" s="8" t="s">
        <v>267</v>
      </c>
      <c r="C75" s="2" t="s">
        <v>47</v>
      </c>
      <c r="D75" s="4" t="s">
        <v>407</v>
      </c>
      <c r="E75" s="5" t="s">
        <v>408</v>
      </c>
      <c r="F75" s="4" t="s">
        <v>409</v>
      </c>
      <c r="G75" s="4" t="s">
        <v>410</v>
      </c>
      <c r="H75" s="2" t="s">
        <v>411</v>
      </c>
      <c r="I75" s="2" t="s">
        <v>33</v>
      </c>
      <c r="J75" s="2" t="s">
        <v>23</v>
      </c>
      <c r="K75" s="2"/>
      <c r="L75" s="2"/>
      <c r="M75" s="2" t="s">
        <v>24</v>
      </c>
      <c r="N75" s="4"/>
    </row>
    <row r="76" customFormat="false" ht="57.75" hidden="false" customHeight="true" outlineLevel="0" collapsed="false">
      <c r="A76" s="2" t="s">
        <v>412</v>
      </c>
      <c r="B76" s="8" t="s">
        <v>267</v>
      </c>
      <c r="C76" s="2" t="s">
        <v>47</v>
      </c>
      <c r="D76" s="4" t="s">
        <v>413</v>
      </c>
      <c r="E76" s="5" t="s">
        <v>414</v>
      </c>
      <c r="F76" s="4" t="s">
        <v>415</v>
      </c>
      <c r="G76" s="4" t="s">
        <v>416</v>
      </c>
      <c r="H76" s="2" t="s">
        <v>411</v>
      </c>
      <c r="I76" s="2" t="s">
        <v>33</v>
      </c>
      <c r="J76" s="2" t="s">
        <v>23</v>
      </c>
      <c r="K76" s="2"/>
      <c r="L76" s="2"/>
      <c r="M76" s="2" t="s">
        <v>24</v>
      </c>
      <c r="N76" s="4"/>
    </row>
    <row r="77" customFormat="false" ht="57.75" hidden="false" customHeight="true" outlineLevel="0" collapsed="false">
      <c r="A77" s="2" t="s">
        <v>417</v>
      </c>
      <c r="B77" s="8" t="s">
        <v>267</v>
      </c>
      <c r="C77" s="2" t="s">
        <v>47</v>
      </c>
      <c r="D77" s="4" t="s">
        <v>418</v>
      </c>
      <c r="E77" s="5" t="s">
        <v>419</v>
      </c>
      <c r="F77" s="4" t="s">
        <v>420</v>
      </c>
      <c r="G77" s="4" t="s">
        <v>421</v>
      </c>
      <c r="H77" s="2" t="s">
        <v>80</v>
      </c>
      <c r="I77" s="2" t="s">
        <v>86</v>
      </c>
      <c r="J77" s="2" t="s">
        <v>23</v>
      </c>
      <c r="K77" s="2"/>
      <c r="L77" s="2"/>
      <c r="M77" s="2" t="s">
        <v>24</v>
      </c>
      <c r="N77" s="4"/>
    </row>
    <row r="78" customFormat="false" ht="57.75" hidden="false" customHeight="true" outlineLevel="0" collapsed="false">
      <c r="A78" s="2" t="s">
        <v>422</v>
      </c>
      <c r="B78" s="8" t="s">
        <v>267</v>
      </c>
      <c r="C78" s="2" t="s">
        <v>47</v>
      </c>
      <c r="D78" s="4" t="s">
        <v>423</v>
      </c>
      <c r="E78" s="5" t="s">
        <v>424</v>
      </c>
      <c r="F78" s="4" t="s">
        <v>425</v>
      </c>
      <c r="G78" s="4" t="s">
        <v>426</v>
      </c>
      <c r="H78" s="2" t="s">
        <v>92</v>
      </c>
      <c r="I78" s="2" t="s">
        <v>22</v>
      </c>
      <c r="J78" s="2" t="s">
        <v>23</v>
      </c>
      <c r="K78" s="2"/>
      <c r="L78" s="2"/>
      <c r="M78" s="2" t="s">
        <v>24</v>
      </c>
      <c r="N78" s="4"/>
    </row>
    <row r="79" customFormat="false" ht="57.75" hidden="false" customHeight="true" outlineLevel="0" collapsed="false">
      <c r="A79" s="2" t="s">
        <v>427</v>
      </c>
      <c r="B79" s="8" t="s">
        <v>267</v>
      </c>
      <c r="C79" s="2" t="s">
        <v>47</v>
      </c>
      <c r="D79" s="4" t="s">
        <v>428</v>
      </c>
      <c r="E79" s="5" t="s">
        <v>429</v>
      </c>
      <c r="F79" s="4" t="s">
        <v>430</v>
      </c>
      <c r="G79" s="4" t="s">
        <v>431</v>
      </c>
      <c r="H79" s="2" t="s">
        <v>32</v>
      </c>
      <c r="I79" s="2" t="s">
        <v>86</v>
      </c>
      <c r="J79" s="2" t="s">
        <v>23</v>
      </c>
      <c r="K79" s="2"/>
      <c r="L79" s="2"/>
      <c r="M79" s="2" t="s">
        <v>24</v>
      </c>
      <c r="N79" s="4"/>
    </row>
    <row r="80" customFormat="false" ht="57.75" hidden="false" customHeight="true" outlineLevel="0" collapsed="false">
      <c r="A80" s="2" t="s">
        <v>432</v>
      </c>
      <c r="B80" s="8" t="s">
        <v>267</v>
      </c>
      <c r="C80" s="2" t="s">
        <v>16</v>
      </c>
      <c r="D80" s="4" t="s">
        <v>433</v>
      </c>
      <c r="E80" s="5" t="s">
        <v>434</v>
      </c>
      <c r="F80" s="4" t="s">
        <v>435</v>
      </c>
      <c r="G80" s="4" t="s">
        <v>436</v>
      </c>
      <c r="H80" s="2" t="s">
        <v>214</v>
      </c>
      <c r="I80" s="2" t="s">
        <v>22</v>
      </c>
      <c r="J80" s="2" t="s">
        <v>23</v>
      </c>
      <c r="K80" s="2"/>
      <c r="L80" s="2"/>
      <c r="M80" s="2" t="s">
        <v>24</v>
      </c>
      <c r="N80" s="4"/>
    </row>
    <row r="81" customFormat="false" ht="57.75" hidden="false" customHeight="true" outlineLevel="0" collapsed="false">
      <c r="A81" s="2" t="s">
        <v>437</v>
      </c>
      <c r="B81" s="8" t="s">
        <v>267</v>
      </c>
      <c r="C81" s="2" t="s">
        <v>16</v>
      </c>
      <c r="D81" s="4" t="s">
        <v>438</v>
      </c>
      <c r="E81" s="5" t="s">
        <v>439</v>
      </c>
      <c r="F81" s="4" t="s">
        <v>440</v>
      </c>
      <c r="G81" s="4" t="s">
        <v>441</v>
      </c>
      <c r="H81" s="2" t="s">
        <v>104</v>
      </c>
      <c r="I81" s="2" t="s">
        <v>33</v>
      </c>
      <c r="J81" s="2" t="s">
        <v>23</v>
      </c>
      <c r="K81" s="2"/>
      <c r="L81" s="2"/>
      <c r="M81" s="2" t="s">
        <v>24</v>
      </c>
      <c r="N81" s="4"/>
    </row>
    <row r="82" customFormat="false" ht="57.75" hidden="false" customHeight="true" outlineLevel="0" collapsed="false">
      <c r="A82" s="2" t="s">
        <v>442</v>
      </c>
      <c r="B82" s="8" t="s">
        <v>267</v>
      </c>
      <c r="C82" s="2" t="s">
        <v>16</v>
      </c>
      <c r="D82" s="4" t="s">
        <v>443</v>
      </c>
      <c r="E82" s="5" t="s">
        <v>444</v>
      </c>
      <c r="F82" s="4" t="s">
        <v>445</v>
      </c>
      <c r="G82" s="4" t="s">
        <v>446</v>
      </c>
      <c r="H82" s="2" t="s">
        <v>188</v>
      </c>
      <c r="I82" s="2" t="s">
        <v>22</v>
      </c>
      <c r="J82" s="2" t="s">
        <v>23</v>
      </c>
      <c r="K82" s="2"/>
      <c r="L82" s="2"/>
      <c r="M82" s="2" t="s">
        <v>24</v>
      </c>
      <c r="N82" s="4"/>
    </row>
    <row r="83" customFormat="false" ht="57.75" hidden="false" customHeight="true" outlineLevel="0" collapsed="false">
      <c r="A83" s="2" t="s">
        <v>447</v>
      </c>
      <c r="B83" s="8" t="s">
        <v>267</v>
      </c>
      <c r="C83" s="2" t="s">
        <v>69</v>
      </c>
      <c r="D83" s="4" t="s">
        <v>448</v>
      </c>
      <c r="E83" s="5" t="s">
        <v>449</v>
      </c>
      <c r="F83" s="4" t="s">
        <v>450</v>
      </c>
      <c r="G83" s="4" t="s">
        <v>451</v>
      </c>
      <c r="H83" s="2" t="s">
        <v>32</v>
      </c>
      <c r="I83" s="2" t="s">
        <v>86</v>
      </c>
      <c r="J83" s="2" t="s">
        <v>23</v>
      </c>
      <c r="K83" s="2"/>
      <c r="L83" s="2"/>
      <c r="M83" s="2" t="s">
        <v>24</v>
      </c>
      <c r="N83" s="4"/>
    </row>
    <row r="84" customFormat="false" ht="57.75" hidden="false" customHeight="true" outlineLevel="0" collapsed="false">
      <c r="A84" s="2" t="s">
        <v>452</v>
      </c>
      <c r="B84" s="8" t="s">
        <v>267</v>
      </c>
      <c r="C84" s="2" t="s">
        <v>69</v>
      </c>
      <c r="D84" s="4" t="s">
        <v>453</v>
      </c>
      <c r="E84" s="5" t="s">
        <v>454</v>
      </c>
      <c r="F84" s="4" t="s">
        <v>455</v>
      </c>
      <c r="G84" s="4" t="s">
        <v>456</v>
      </c>
      <c r="H84" s="2" t="s">
        <v>21</v>
      </c>
      <c r="I84" s="2" t="s">
        <v>22</v>
      </c>
      <c r="J84" s="2" t="s">
        <v>23</v>
      </c>
      <c r="K84" s="2"/>
      <c r="L84" s="2"/>
      <c r="M84" s="2" t="s">
        <v>24</v>
      </c>
      <c r="N84" s="4"/>
    </row>
    <row r="85" customFormat="false" ht="57.75" hidden="false" customHeight="true" outlineLevel="0" collapsed="false">
      <c r="A85" s="2" t="s">
        <v>457</v>
      </c>
      <c r="B85" s="8" t="s">
        <v>267</v>
      </c>
      <c r="C85" s="2" t="s">
        <v>69</v>
      </c>
      <c r="D85" s="4" t="s">
        <v>458</v>
      </c>
      <c r="E85" s="5" t="s">
        <v>459</v>
      </c>
      <c r="F85" s="4" t="s">
        <v>460</v>
      </c>
      <c r="G85" s="4" t="s">
        <v>461</v>
      </c>
      <c r="H85" s="2" t="s">
        <v>45</v>
      </c>
      <c r="I85" s="2" t="s">
        <v>86</v>
      </c>
      <c r="J85" s="2" t="s">
        <v>23</v>
      </c>
      <c r="K85" s="2"/>
      <c r="L85" s="2"/>
      <c r="M85" s="2" t="s">
        <v>24</v>
      </c>
      <c r="N85" s="4"/>
    </row>
    <row r="86" customFormat="false" ht="57.75" hidden="false" customHeight="true" outlineLevel="0" collapsed="false">
      <c r="A86" s="2" t="s">
        <v>462</v>
      </c>
      <c r="B86" s="9" t="s">
        <v>463</v>
      </c>
      <c r="C86" s="2" t="s">
        <v>99</v>
      </c>
      <c r="D86" s="4" t="s">
        <v>464</v>
      </c>
      <c r="E86" s="5" t="s">
        <v>465</v>
      </c>
      <c r="F86" s="4" t="s">
        <v>466</v>
      </c>
      <c r="G86" s="4" t="s">
        <v>467</v>
      </c>
      <c r="H86" s="2" t="s">
        <v>92</v>
      </c>
      <c r="I86" s="2" t="s">
        <v>86</v>
      </c>
      <c r="J86" s="2" t="s">
        <v>23</v>
      </c>
      <c r="K86" s="2"/>
      <c r="L86" s="2"/>
      <c r="M86" s="2" t="s">
        <v>24</v>
      </c>
      <c r="N86" s="4"/>
    </row>
    <row r="87" customFormat="false" ht="57.75" hidden="false" customHeight="true" outlineLevel="0" collapsed="false">
      <c r="A87" s="2" t="s">
        <v>468</v>
      </c>
      <c r="B87" s="9" t="s">
        <v>463</v>
      </c>
      <c r="C87" s="2" t="s">
        <v>40</v>
      </c>
      <c r="D87" s="4" t="s">
        <v>469</v>
      </c>
      <c r="E87" s="5" t="s">
        <v>470</v>
      </c>
      <c r="F87" s="4" t="s">
        <v>471</v>
      </c>
      <c r="G87" s="4" t="s">
        <v>472</v>
      </c>
      <c r="H87" s="2" t="s">
        <v>104</v>
      </c>
      <c r="I87" s="2" t="s">
        <v>86</v>
      </c>
      <c r="J87" s="2" t="s">
        <v>23</v>
      </c>
      <c r="K87" s="2"/>
      <c r="L87" s="2"/>
      <c r="M87" s="2" t="s">
        <v>24</v>
      </c>
      <c r="N87" s="4"/>
    </row>
    <row r="88" customFormat="false" ht="57.75" hidden="false" customHeight="true" outlineLevel="0" collapsed="false">
      <c r="A88" s="2" t="s">
        <v>473</v>
      </c>
      <c r="B88" s="9" t="s">
        <v>463</v>
      </c>
      <c r="C88" s="2" t="s">
        <v>40</v>
      </c>
      <c r="D88" s="4" t="s">
        <v>474</v>
      </c>
      <c r="E88" s="5" t="s">
        <v>475</v>
      </c>
      <c r="F88" s="4" t="s">
        <v>476</v>
      </c>
      <c r="G88" s="4" t="s">
        <v>477</v>
      </c>
      <c r="H88" s="2" t="s">
        <v>21</v>
      </c>
      <c r="I88" s="2" t="s">
        <v>86</v>
      </c>
      <c r="J88" s="2" t="s">
        <v>23</v>
      </c>
      <c r="K88" s="2"/>
      <c r="L88" s="2"/>
      <c r="M88" s="2" t="s">
        <v>24</v>
      </c>
      <c r="N88" s="4"/>
    </row>
    <row r="89" customFormat="false" ht="57.75" hidden="false" customHeight="true" outlineLevel="0" collapsed="false">
      <c r="A89" s="2" t="s">
        <v>478</v>
      </c>
      <c r="B89" s="9" t="s">
        <v>463</v>
      </c>
      <c r="C89" s="2" t="s">
        <v>190</v>
      </c>
      <c r="D89" s="4" t="s">
        <v>479</v>
      </c>
      <c r="E89" s="5" t="s">
        <v>480</v>
      </c>
      <c r="F89" s="4" t="s">
        <v>481</v>
      </c>
      <c r="G89" s="4" t="s">
        <v>482</v>
      </c>
      <c r="H89" s="2" t="s">
        <v>80</v>
      </c>
      <c r="I89" s="2" t="s">
        <v>22</v>
      </c>
      <c r="J89" s="2" t="s">
        <v>23</v>
      </c>
      <c r="K89" s="2"/>
      <c r="L89" s="2"/>
      <c r="M89" s="2" t="s">
        <v>24</v>
      </c>
      <c r="N89" s="4"/>
    </row>
    <row r="90" customFormat="false" ht="57.75" hidden="false" customHeight="true" outlineLevel="0" collapsed="false">
      <c r="A90" s="2" t="s">
        <v>483</v>
      </c>
      <c r="B90" s="9" t="s">
        <v>463</v>
      </c>
      <c r="C90" s="2" t="s">
        <v>190</v>
      </c>
      <c r="D90" s="4" t="s">
        <v>484</v>
      </c>
      <c r="E90" s="5" t="s">
        <v>485</v>
      </c>
      <c r="F90" s="4" t="s">
        <v>486</v>
      </c>
      <c r="G90" s="4" t="s">
        <v>487</v>
      </c>
      <c r="H90" s="2" t="s">
        <v>214</v>
      </c>
      <c r="I90" s="2" t="s">
        <v>33</v>
      </c>
      <c r="J90" s="2" t="s">
        <v>23</v>
      </c>
      <c r="K90" s="2"/>
      <c r="L90" s="2"/>
      <c r="M90" s="2" t="s">
        <v>24</v>
      </c>
      <c r="N90" s="4"/>
    </row>
    <row r="91" customFormat="false" ht="57.75" hidden="false" customHeight="true" outlineLevel="0" collapsed="false">
      <c r="A91" s="2" t="s">
        <v>488</v>
      </c>
      <c r="B91" s="9" t="s">
        <v>463</v>
      </c>
      <c r="C91" s="2" t="s">
        <v>190</v>
      </c>
      <c r="D91" s="4" t="s">
        <v>489</v>
      </c>
      <c r="E91" s="5" t="s">
        <v>490</v>
      </c>
      <c r="F91" s="4" t="s">
        <v>491</v>
      </c>
      <c r="G91" s="4" t="s">
        <v>492</v>
      </c>
      <c r="H91" s="2" t="s">
        <v>493</v>
      </c>
      <c r="I91" s="2" t="s">
        <v>22</v>
      </c>
      <c r="J91" s="2" t="s">
        <v>23</v>
      </c>
      <c r="K91" s="2"/>
      <c r="L91" s="2"/>
      <c r="M91" s="2" t="s">
        <v>24</v>
      </c>
      <c r="N91" s="4"/>
    </row>
    <row r="92" customFormat="false" ht="57.75" hidden="false" customHeight="true" outlineLevel="0" collapsed="false">
      <c r="A92" s="2" t="s">
        <v>494</v>
      </c>
      <c r="B92" s="9" t="s">
        <v>463</v>
      </c>
      <c r="C92" s="2" t="s">
        <v>190</v>
      </c>
      <c r="D92" s="4" t="s">
        <v>495</v>
      </c>
      <c r="E92" s="5" t="s">
        <v>496</v>
      </c>
      <c r="F92" s="4" t="s">
        <v>497</v>
      </c>
      <c r="G92" s="4" t="s">
        <v>498</v>
      </c>
      <c r="H92" s="2" t="s">
        <v>92</v>
      </c>
      <c r="I92" s="2" t="s">
        <v>86</v>
      </c>
      <c r="J92" s="2" t="s">
        <v>23</v>
      </c>
      <c r="K92" s="2"/>
      <c r="L92" s="2"/>
      <c r="M92" s="2" t="s">
        <v>24</v>
      </c>
      <c r="N92" s="4"/>
    </row>
    <row r="93" customFormat="false" ht="57.75" hidden="false" customHeight="true" outlineLevel="0" collapsed="false">
      <c r="A93" s="2" t="s">
        <v>499</v>
      </c>
      <c r="B93" s="9" t="s">
        <v>463</v>
      </c>
      <c r="C93" s="2" t="s">
        <v>190</v>
      </c>
      <c r="D93" s="4" t="s">
        <v>500</v>
      </c>
      <c r="E93" s="5" t="s">
        <v>501</v>
      </c>
      <c r="F93" s="4" t="s">
        <v>502</v>
      </c>
      <c r="G93" s="4" t="s">
        <v>503</v>
      </c>
      <c r="H93" s="2" t="s">
        <v>493</v>
      </c>
      <c r="I93" s="2" t="s">
        <v>33</v>
      </c>
      <c r="J93" s="2" t="s">
        <v>23</v>
      </c>
      <c r="K93" s="2"/>
      <c r="L93" s="2"/>
      <c r="M93" s="2" t="s">
        <v>24</v>
      </c>
      <c r="N93" s="4"/>
    </row>
    <row r="94" customFormat="false" ht="57.75" hidden="false" customHeight="true" outlineLevel="0" collapsed="false">
      <c r="A94" s="2" t="s">
        <v>504</v>
      </c>
      <c r="B94" s="9" t="s">
        <v>463</v>
      </c>
      <c r="C94" s="2" t="s">
        <v>190</v>
      </c>
      <c r="D94" s="4" t="s">
        <v>505</v>
      </c>
      <c r="E94" s="5" t="s">
        <v>506</v>
      </c>
      <c r="F94" s="4" t="s">
        <v>507</v>
      </c>
      <c r="G94" s="4" t="s">
        <v>508</v>
      </c>
      <c r="H94" s="2" t="s">
        <v>80</v>
      </c>
      <c r="I94" s="2" t="s">
        <v>86</v>
      </c>
      <c r="J94" s="2" t="s">
        <v>23</v>
      </c>
      <c r="K94" s="2"/>
      <c r="L94" s="2"/>
      <c r="M94" s="2" t="s">
        <v>24</v>
      </c>
      <c r="N94" s="4"/>
    </row>
    <row r="95" customFormat="false" ht="57.75" hidden="false" customHeight="true" outlineLevel="0" collapsed="false">
      <c r="A95" s="2" t="s">
        <v>509</v>
      </c>
      <c r="B95" s="9" t="s">
        <v>463</v>
      </c>
      <c r="C95" s="2" t="s">
        <v>190</v>
      </c>
      <c r="D95" s="4" t="s">
        <v>510</v>
      </c>
      <c r="E95" s="5" t="s">
        <v>511</v>
      </c>
      <c r="F95" s="4" t="s">
        <v>512</v>
      </c>
      <c r="G95" s="4" t="s">
        <v>513</v>
      </c>
      <c r="H95" s="2" t="s">
        <v>214</v>
      </c>
      <c r="I95" s="2" t="s">
        <v>86</v>
      </c>
      <c r="J95" s="2" t="s">
        <v>23</v>
      </c>
      <c r="K95" s="2"/>
      <c r="L95" s="2"/>
      <c r="M95" s="2" t="s">
        <v>24</v>
      </c>
      <c r="N95" s="4"/>
    </row>
    <row r="96" customFormat="false" ht="57.75" hidden="false" customHeight="true" outlineLevel="0" collapsed="false">
      <c r="A96" s="2" t="s">
        <v>514</v>
      </c>
      <c r="B96" s="9" t="s">
        <v>463</v>
      </c>
      <c r="C96" s="2" t="s">
        <v>190</v>
      </c>
      <c r="D96" s="4" t="s">
        <v>515</v>
      </c>
      <c r="E96" s="5" t="s">
        <v>516</v>
      </c>
      <c r="F96" s="4" t="s">
        <v>517</v>
      </c>
      <c r="G96" s="4" t="s">
        <v>518</v>
      </c>
      <c r="H96" s="2" t="s">
        <v>493</v>
      </c>
      <c r="I96" s="2" t="s">
        <v>22</v>
      </c>
      <c r="J96" s="2" t="s">
        <v>23</v>
      </c>
      <c r="K96" s="2"/>
      <c r="L96" s="2"/>
      <c r="M96" s="2" t="s">
        <v>24</v>
      </c>
      <c r="N96" s="4"/>
    </row>
    <row r="97" customFormat="false" ht="57.75" hidden="false" customHeight="true" outlineLevel="0" collapsed="false">
      <c r="A97" s="2" t="s">
        <v>519</v>
      </c>
      <c r="B97" s="9" t="s">
        <v>463</v>
      </c>
      <c r="C97" s="2" t="s">
        <v>47</v>
      </c>
      <c r="D97" s="4" t="s">
        <v>520</v>
      </c>
      <c r="E97" s="5" t="s">
        <v>521</v>
      </c>
      <c r="F97" s="4" t="s">
        <v>522</v>
      </c>
      <c r="G97" s="4" t="s">
        <v>523</v>
      </c>
      <c r="H97" s="2" t="s">
        <v>80</v>
      </c>
      <c r="I97" s="2" t="s">
        <v>86</v>
      </c>
      <c r="J97" s="2" t="s">
        <v>23</v>
      </c>
      <c r="K97" s="2"/>
      <c r="L97" s="2"/>
      <c r="M97" s="2" t="s">
        <v>24</v>
      </c>
      <c r="N97" s="4"/>
    </row>
    <row r="98" customFormat="false" ht="57.75" hidden="false" customHeight="true" outlineLevel="0" collapsed="false">
      <c r="A98" s="2" t="s">
        <v>524</v>
      </c>
      <c r="B98" s="9" t="s">
        <v>463</v>
      </c>
      <c r="C98" s="2" t="s">
        <v>47</v>
      </c>
      <c r="D98" s="4" t="s">
        <v>525</v>
      </c>
      <c r="E98" s="5" t="s">
        <v>526</v>
      </c>
      <c r="F98" s="4" t="s">
        <v>527</v>
      </c>
      <c r="G98" s="4" t="s">
        <v>528</v>
      </c>
      <c r="H98" s="2" t="s">
        <v>214</v>
      </c>
      <c r="I98" s="2" t="s">
        <v>86</v>
      </c>
      <c r="J98" s="2" t="s">
        <v>23</v>
      </c>
      <c r="K98" s="2"/>
      <c r="L98" s="2"/>
      <c r="M98" s="2" t="s">
        <v>24</v>
      </c>
      <c r="N98" s="4"/>
    </row>
    <row r="99" customFormat="false" ht="57.75" hidden="false" customHeight="true" outlineLevel="0" collapsed="false">
      <c r="A99" s="2" t="s">
        <v>529</v>
      </c>
      <c r="B99" s="9" t="s">
        <v>463</v>
      </c>
      <c r="C99" s="2" t="s">
        <v>16</v>
      </c>
      <c r="D99" s="4" t="s">
        <v>530</v>
      </c>
      <c r="E99" s="5" t="s">
        <v>531</v>
      </c>
      <c r="F99" s="4" t="s">
        <v>532</v>
      </c>
      <c r="G99" s="4" t="s">
        <v>533</v>
      </c>
      <c r="H99" s="2" t="s">
        <v>214</v>
      </c>
      <c r="I99" s="2" t="s">
        <v>86</v>
      </c>
      <c r="J99" s="2" t="s">
        <v>23</v>
      </c>
      <c r="K99" s="2"/>
      <c r="L99" s="2"/>
      <c r="M99" s="2" t="s">
        <v>24</v>
      </c>
      <c r="N99" s="4"/>
    </row>
    <row r="100" customFormat="false" ht="57.75" hidden="false" customHeight="true" outlineLevel="0" collapsed="false">
      <c r="A100" s="2" t="s">
        <v>534</v>
      </c>
      <c r="B100" s="9" t="s">
        <v>463</v>
      </c>
      <c r="C100" s="2" t="s">
        <v>16</v>
      </c>
      <c r="D100" s="4" t="s">
        <v>535</v>
      </c>
      <c r="E100" s="5" t="s">
        <v>536</v>
      </c>
      <c r="F100" s="4" t="s">
        <v>537</v>
      </c>
      <c r="G100" s="4" t="s">
        <v>538</v>
      </c>
      <c r="H100" s="2" t="s">
        <v>80</v>
      </c>
      <c r="I100" s="2" t="s">
        <v>33</v>
      </c>
      <c r="J100" s="2" t="s">
        <v>23</v>
      </c>
      <c r="K100" s="2"/>
      <c r="L100" s="2"/>
      <c r="M100" s="2" t="s">
        <v>24</v>
      </c>
      <c r="N100" s="4"/>
    </row>
    <row r="101" customFormat="false" ht="57.75" hidden="false" customHeight="true" outlineLevel="0" collapsed="false">
      <c r="A101" s="2" t="s">
        <v>539</v>
      </c>
      <c r="B101" s="9" t="s">
        <v>463</v>
      </c>
      <c r="C101" s="2" t="s">
        <v>69</v>
      </c>
      <c r="D101" s="4" t="s">
        <v>540</v>
      </c>
      <c r="E101" s="5" t="s">
        <v>541</v>
      </c>
      <c r="F101" s="4" t="s">
        <v>542</v>
      </c>
      <c r="G101" s="4" t="s">
        <v>543</v>
      </c>
      <c r="H101" s="2" t="s">
        <v>32</v>
      </c>
      <c r="I101" s="2" t="s">
        <v>86</v>
      </c>
      <c r="J101" s="2" t="s">
        <v>23</v>
      </c>
      <c r="K101" s="2"/>
      <c r="L101" s="2"/>
      <c r="M101" s="2" t="s">
        <v>24</v>
      </c>
      <c r="N101" s="4"/>
    </row>
    <row r="102" customFormat="false" ht="57.75" hidden="false" customHeight="true" outlineLevel="0" collapsed="false">
      <c r="A102" s="2" t="s">
        <v>544</v>
      </c>
      <c r="B102" s="9" t="s">
        <v>463</v>
      </c>
      <c r="C102" s="2" t="s">
        <v>69</v>
      </c>
      <c r="D102" s="4" t="s">
        <v>545</v>
      </c>
      <c r="E102" s="5" t="s">
        <v>546</v>
      </c>
      <c r="F102" s="4" t="s">
        <v>547</v>
      </c>
      <c r="G102" s="4" t="s">
        <v>548</v>
      </c>
      <c r="H102" s="2" t="s">
        <v>57</v>
      </c>
      <c r="I102" s="2" t="s">
        <v>86</v>
      </c>
      <c r="J102" s="2" t="s">
        <v>23</v>
      </c>
      <c r="K102" s="2"/>
      <c r="L102" s="2"/>
      <c r="M102" s="2" t="s">
        <v>24</v>
      </c>
      <c r="N102" s="4"/>
    </row>
  </sheetData>
  <autoFilter ref="A1:N102"/>
  <conditionalFormatting sqref="J2:J102">
    <cfRule type="cellIs" priority="2" operator="equal" aboveAverage="0" equalAverage="0" bottom="0" percent="0" rank="0" text="" dxfId="10">
      <formula>"Verified"</formula>
    </cfRule>
    <cfRule type="cellIs" priority="3" operator="equal" aboveAverage="0" equalAverage="0" bottom="0" percent="0" rank="0" text="" dxfId="11">
      <formula>"Open"</formula>
    </cfRule>
  </conditionalFormatting>
  <dataValidations count="2">
    <dataValidation allowBlank="true" errorStyle="stop" operator="between" showDropDown="false" showErrorMessage="false" showInputMessage="false" sqref="J2:J102" type="list">
      <formula1>"Open,In progress,Fixed,Verified,Deferred,Won't fix"</formula1>
      <formula2>0</formula2>
    </dataValidation>
    <dataValidation allowBlank="true" errorStyle="stop" operator="between" showDropDown="false" showErrorMessage="false" showInputMessage="false" sqref="M2:M1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8"/>
    <col collapsed="false" customWidth="true" hidden="false" outlineLevel="0" max="3" min="3" style="0" width="14"/>
    <col collapsed="false" customWidth="true" hidden="false" outlineLevel="0" max="4" min="4" style="0" width="16"/>
    <col collapsed="false" customWidth="true" hidden="false" outlineLevel="0" max="5" min="5" style="0" width="12"/>
  </cols>
  <sheetData>
    <row r="1" customFormat="false" ht="17.35" hidden="false" customHeight="false" outlineLevel="0" collapsed="false">
      <c r="A1" s="10" t="s">
        <v>549</v>
      </c>
    </row>
    <row r="2" customFormat="false" ht="15" hidden="false" customHeight="false" outlineLevel="0" collapsed="false">
      <c r="A2" s="11" t="s">
        <v>550</v>
      </c>
    </row>
    <row r="3" customFormat="false" ht="15" hidden="false" customHeight="false" outlineLevel="0" collapsed="false">
      <c r="A3" s="12" t="s">
        <v>551</v>
      </c>
    </row>
    <row r="5" customFormat="false" ht="15" hidden="false" customHeight="false" outlineLevel="0" collapsed="false">
      <c r="A5" s="13" t="s">
        <v>552</v>
      </c>
    </row>
    <row r="6" customFormat="false" ht="15" hidden="false" customHeight="false" outlineLevel="0" collapsed="false">
      <c r="A6" s="14" t="s">
        <v>1</v>
      </c>
      <c r="B6" s="14" t="s">
        <v>553</v>
      </c>
      <c r="C6" s="14" t="s">
        <v>23</v>
      </c>
      <c r="D6" s="14" t="s">
        <v>554</v>
      </c>
      <c r="E6" s="14" t="s">
        <v>555</v>
      </c>
    </row>
    <row r="7" customFormat="false" ht="15" hidden="false" customHeight="false" outlineLevel="0" collapsed="false">
      <c r="A7" s="15" t="s">
        <v>15</v>
      </c>
      <c r="B7" s="16" t="n">
        <f aca="false">COUNTIF('Findings Register'!$B$2:$B$102,$A7)</f>
        <v>1</v>
      </c>
      <c r="C7" s="16" t="n">
        <f aca="false">COUNTIFS('Findings Register'!$B$2:$B$102,$A7,'Findings Register'!$J$2:$J$102,"Open")</f>
        <v>1</v>
      </c>
      <c r="D7" s="16" t="n">
        <f aca="false">COUNTIFS('Findings Register'!$B$2:$B$102,$A7,'Findings Register'!$J$2:$J$102,"Fixed")+COUNTIFS('Findings Register'!$B$2:$B$102,$A7,'Findings Register'!$J$2:$J$102,"Verified")</f>
        <v>0</v>
      </c>
      <c r="E7" s="17" t="n">
        <f aca="false">IF($B7=0,0,$D7/$B7)</f>
        <v>0</v>
      </c>
    </row>
    <row r="8" customFormat="false" ht="15" hidden="false" customHeight="false" outlineLevel="0" collapsed="false">
      <c r="A8" s="18" t="s">
        <v>26</v>
      </c>
      <c r="B8" s="16" t="n">
        <f aca="false">COUNTIF('Findings Register'!$B$2:$B$102,$A8)</f>
        <v>8</v>
      </c>
      <c r="C8" s="16" t="n">
        <f aca="false">COUNTIFS('Findings Register'!$B$2:$B$102,$A8,'Findings Register'!$J$2:$J$102,"Open")</f>
        <v>8</v>
      </c>
      <c r="D8" s="16" t="n">
        <f aca="false">COUNTIFS('Findings Register'!$B$2:$B$102,$A8,'Findings Register'!$J$2:$J$102,"Fixed")+COUNTIFS('Findings Register'!$B$2:$B$102,$A8,'Findings Register'!$J$2:$J$102,"Verified")</f>
        <v>0</v>
      </c>
      <c r="E8" s="17" t="n">
        <f aca="false">IF($B8=0,0,$D8/$B8)</f>
        <v>0</v>
      </c>
    </row>
    <row r="9" customFormat="false" ht="15" hidden="false" customHeight="false" outlineLevel="0" collapsed="false">
      <c r="A9" s="19" t="s">
        <v>75</v>
      </c>
      <c r="B9" s="16" t="n">
        <f aca="false">COUNTIF('Findings Register'!$B$2:$B$102,$A9)</f>
        <v>36</v>
      </c>
      <c r="C9" s="16" t="n">
        <f aca="false">COUNTIFS('Findings Register'!$B$2:$B$102,$A9,'Findings Register'!$J$2:$J$102,"Open")</f>
        <v>36</v>
      </c>
      <c r="D9" s="16" t="n">
        <f aca="false">COUNTIFS('Findings Register'!$B$2:$B$102,$A9,'Findings Register'!$J$2:$J$102,"Fixed")+COUNTIFS('Findings Register'!$B$2:$B$102,$A9,'Findings Register'!$J$2:$J$102,"Verified")</f>
        <v>0</v>
      </c>
      <c r="E9" s="17" t="n">
        <f aca="false">IF($B9=0,0,$D9/$B9)</f>
        <v>0</v>
      </c>
    </row>
    <row r="10" customFormat="false" ht="15" hidden="false" customHeight="false" outlineLevel="0" collapsed="false">
      <c r="A10" s="20" t="s">
        <v>267</v>
      </c>
      <c r="B10" s="16" t="n">
        <f aca="false">COUNTIF('Findings Register'!$B$2:$B$102,$A10)</f>
        <v>39</v>
      </c>
      <c r="C10" s="16" t="n">
        <f aca="false">COUNTIFS('Findings Register'!$B$2:$B$102,$A10,'Findings Register'!$J$2:$J$102,"Open")</f>
        <v>39</v>
      </c>
      <c r="D10" s="16" t="n">
        <f aca="false">COUNTIFS('Findings Register'!$B$2:$B$102,$A10,'Findings Register'!$J$2:$J$102,"Fixed")+COUNTIFS('Findings Register'!$B$2:$B$102,$A10,'Findings Register'!$J$2:$J$102,"Verified")</f>
        <v>0</v>
      </c>
      <c r="E10" s="17" t="n">
        <f aca="false">IF($B10=0,0,$D10/$B10)</f>
        <v>0</v>
      </c>
    </row>
    <row r="11" customFormat="false" ht="15" hidden="false" customHeight="false" outlineLevel="0" collapsed="false">
      <c r="A11" s="21" t="s">
        <v>463</v>
      </c>
      <c r="B11" s="16" t="n">
        <f aca="false">COUNTIF('Findings Register'!$B$2:$B$102,$A11)</f>
        <v>17</v>
      </c>
      <c r="C11" s="16" t="n">
        <f aca="false">COUNTIFS('Findings Register'!$B$2:$B$102,$A11,'Findings Register'!$J$2:$J$102,"Open")</f>
        <v>17</v>
      </c>
      <c r="D11" s="16" t="n">
        <f aca="false">COUNTIFS('Findings Register'!$B$2:$B$102,$A11,'Findings Register'!$J$2:$J$102,"Fixed")+COUNTIFS('Findings Register'!$B$2:$B$102,$A11,'Findings Register'!$J$2:$J$102,"Verified")</f>
        <v>0</v>
      </c>
      <c r="E11" s="17" t="n">
        <f aca="false">IF($B11=0,0,$D11/$B11)</f>
        <v>0</v>
      </c>
    </row>
    <row r="12" customFormat="false" ht="15" hidden="false" customHeight="false" outlineLevel="0" collapsed="false">
      <c r="A12" s="22" t="s">
        <v>556</v>
      </c>
      <c r="B12" s="23" t="n">
        <f aca="false">SUM(B7:B11)</f>
        <v>101</v>
      </c>
      <c r="C12" s="23" t="n">
        <f aca="false">SUM(C7:C11)</f>
        <v>101</v>
      </c>
      <c r="D12" s="23" t="n">
        <f aca="false">SUM(D7:D11)</f>
        <v>0</v>
      </c>
      <c r="E12" s="24" t="n">
        <f aca="false">IF($B12=0,0,$D12/$B12)</f>
        <v>0</v>
      </c>
    </row>
    <row r="14" customFormat="false" ht="15" hidden="false" customHeight="false" outlineLevel="0" collapsed="false">
      <c r="A14" s="13" t="s">
        <v>557</v>
      </c>
    </row>
    <row r="15" customFormat="false" ht="15" hidden="false" customHeight="false" outlineLevel="0" collapsed="false">
      <c r="A15" s="14" t="s">
        <v>2</v>
      </c>
      <c r="B15" s="14" t="s">
        <v>553</v>
      </c>
      <c r="C15" s="14" t="s">
        <v>23</v>
      </c>
    </row>
    <row r="16" customFormat="false" ht="15" hidden="false" customHeight="false" outlineLevel="0" collapsed="false">
      <c r="A16" s="25" t="s">
        <v>190</v>
      </c>
      <c r="B16" s="16" t="n">
        <f aca="false">COUNTIF('Findings Register'!$C$2:$C$102,$A16)</f>
        <v>17</v>
      </c>
      <c r="C16" s="16" t="n">
        <f aca="false">COUNTIFS('Findings Register'!$C$2:$C$102,$A16,'Findings Register'!$J$2:$J$102,"Open")</f>
        <v>17</v>
      </c>
    </row>
    <row r="17" customFormat="false" ht="15" hidden="false" customHeight="false" outlineLevel="0" collapsed="false">
      <c r="A17" s="25" t="s">
        <v>27</v>
      </c>
      <c r="B17" s="16" t="n">
        <f aca="false">COUNTIF('Findings Register'!$C$2:$C$102,$A17)</f>
        <v>11</v>
      </c>
      <c r="C17" s="16" t="n">
        <f aca="false">COUNTIFS('Findings Register'!$C$2:$C$102,$A17,'Findings Register'!$J$2:$J$102,"Open")</f>
        <v>11</v>
      </c>
    </row>
    <row r="18" customFormat="false" ht="15" hidden="false" customHeight="false" outlineLevel="0" collapsed="false">
      <c r="A18" s="25" t="s">
        <v>47</v>
      </c>
      <c r="B18" s="16" t="n">
        <f aca="false">COUNTIF('Findings Register'!$C$2:$C$102,$A18)</f>
        <v>15</v>
      </c>
      <c r="C18" s="16" t="n">
        <f aca="false">COUNTIFS('Findings Register'!$C$2:$C$102,$A18,'Findings Register'!$J$2:$J$102,"Open")</f>
        <v>15</v>
      </c>
    </row>
    <row r="19" customFormat="false" ht="15" hidden="false" customHeight="false" outlineLevel="0" collapsed="false">
      <c r="A19" s="25" t="s">
        <v>126</v>
      </c>
      <c r="B19" s="16" t="n">
        <f aca="false">COUNTIF('Findings Register'!$C$2:$C$102,$A19)</f>
        <v>9</v>
      </c>
      <c r="C19" s="16" t="n">
        <f aca="false">COUNTIFS('Findings Register'!$C$2:$C$102,$A19,'Findings Register'!$J$2:$J$102,"Open")</f>
        <v>9</v>
      </c>
    </row>
    <row r="20" customFormat="false" ht="15" hidden="false" customHeight="false" outlineLevel="0" collapsed="false">
      <c r="A20" s="25" t="s">
        <v>132</v>
      </c>
      <c r="B20" s="16" t="n">
        <f aca="false">COUNTIF('Findings Register'!$C$2:$C$102,$A20)</f>
        <v>9</v>
      </c>
      <c r="C20" s="16" t="n">
        <f aca="false">COUNTIFS('Findings Register'!$C$2:$C$102,$A20,'Findings Register'!$J$2:$J$102,"Open")</f>
        <v>9</v>
      </c>
    </row>
    <row r="21" customFormat="false" ht="15" hidden="false" customHeight="false" outlineLevel="0" collapsed="false">
      <c r="A21" s="25" t="s">
        <v>69</v>
      </c>
      <c r="B21" s="16" t="n">
        <f aca="false">COUNTIF('Findings Register'!$C$2:$C$102,$A21)</f>
        <v>8</v>
      </c>
      <c r="C21" s="16" t="n">
        <f aca="false">COUNTIFS('Findings Register'!$C$2:$C$102,$A21,'Findings Register'!$J$2:$J$102,"Open")</f>
        <v>8</v>
      </c>
    </row>
    <row r="22" customFormat="false" ht="15" hidden="false" customHeight="false" outlineLevel="0" collapsed="false">
      <c r="A22" s="25" t="s">
        <v>40</v>
      </c>
      <c r="B22" s="16" t="n">
        <f aca="false">COUNTIF('Findings Register'!$C$2:$C$102,$A22)</f>
        <v>12</v>
      </c>
      <c r="C22" s="16" t="n">
        <f aca="false">COUNTIFS('Findings Register'!$C$2:$C$102,$A22,'Findings Register'!$J$2:$J$102,"Open")</f>
        <v>12</v>
      </c>
    </row>
    <row r="23" customFormat="false" ht="15" hidden="false" customHeight="false" outlineLevel="0" collapsed="false">
      <c r="A23" s="25" t="s">
        <v>99</v>
      </c>
      <c r="B23" s="16" t="n">
        <f aca="false">COUNTIF('Findings Register'!$C$2:$C$102,$A23)</f>
        <v>10</v>
      </c>
      <c r="C23" s="16" t="n">
        <f aca="false">COUNTIFS('Findings Register'!$C$2:$C$102,$A23,'Findings Register'!$J$2:$J$102,"Open")</f>
        <v>10</v>
      </c>
    </row>
    <row r="24" customFormat="false" ht="15" hidden="false" customHeight="false" outlineLevel="0" collapsed="false">
      <c r="A24" s="25" t="s">
        <v>16</v>
      </c>
      <c r="B24" s="16" t="n">
        <f aca="false">COUNTIF('Findings Register'!$C$2:$C$102,$A24)</f>
        <v>10</v>
      </c>
      <c r="C24" s="16" t="n">
        <f aca="false">COUNTIFS('Findings Register'!$C$2:$C$102,$A24,'Findings Register'!$J$2:$J$102,"Open")</f>
        <v>10</v>
      </c>
    </row>
    <row r="26" customFormat="false" ht="15" hidden="false" customHeight="false" outlineLevel="0" collapsed="false">
      <c r="A26" s="13" t="s">
        <v>558</v>
      </c>
    </row>
    <row r="27" customFormat="false" ht="15" hidden="false" customHeight="false" outlineLevel="0" collapsed="false">
      <c r="A27" s="14" t="s">
        <v>8</v>
      </c>
      <c r="B27" s="14" t="s">
        <v>559</v>
      </c>
      <c r="C27" s="14" t="s">
        <v>553</v>
      </c>
      <c r="D27" s="14" t="s">
        <v>23</v>
      </c>
    </row>
    <row r="28" customFormat="false" ht="15" hidden="false" customHeight="false" outlineLevel="0" collapsed="false">
      <c r="A28" s="23" t="s">
        <v>22</v>
      </c>
      <c r="B28" s="25" t="s">
        <v>560</v>
      </c>
      <c r="C28" s="16" t="n">
        <f aca="false">COUNTIF('Findings Register'!$I$2:$I$102,$A28)</f>
        <v>36</v>
      </c>
      <c r="D28" s="16" t="n">
        <f aca="false">COUNTIFS('Findings Register'!$I$2:$I$102,$A28,'Findings Register'!$J$2:$J$102,"Open")</f>
        <v>36</v>
      </c>
    </row>
    <row r="29" customFormat="false" ht="15" hidden="false" customHeight="false" outlineLevel="0" collapsed="false">
      <c r="A29" s="23" t="s">
        <v>33</v>
      </c>
      <c r="B29" s="25" t="s">
        <v>561</v>
      </c>
      <c r="C29" s="16" t="n">
        <f aca="false">COUNTIF('Findings Register'!$I$2:$I$102,$A29)</f>
        <v>41</v>
      </c>
      <c r="D29" s="16" t="n">
        <f aca="false">COUNTIFS('Findings Register'!$I$2:$I$102,$A29,'Findings Register'!$J$2:$J$102,"Open")</f>
        <v>41</v>
      </c>
    </row>
    <row r="30" customFormat="false" ht="15" hidden="false" customHeight="false" outlineLevel="0" collapsed="false">
      <c r="A30" s="23" t="s">
        <v>86</v>
      </c>
      <c r="B30" s="25" t="s">
        <v>562</v>
      </c>
      <c r="C30" s="16" t="n">
        <f aca="false">COUNTIF('Findings Register'!$I$2:$I$102,$A30)</f>
        <v>24</v>
      </c>
      <c r="D30" s="16" t="n">
        <f aca="false">COUNTIFS('Findings Register'!$I$2:$I$102,$A30,'Findings Register'!$J$2:$J$102,"Open")</f>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46"/>
    <col collapsed="false" customWidth="true" hidden="false" outlineLevel="0" max="4" min="4" style="0" width="42"/>
    <col collapsed="false" customWidth="true" hidden="false" outlineLevel="0" max="5" min="5" style="0" width="30"/>
    <col collapsed="false" customWidth="true" hidden="false" outlineLevel="0" max="6" min="6" style="0" width="44"/>
  </cols>
  <sheetData>
    <row r="1" customFormat="false" ht="16.15" hidden="false" customHeight="false" outlineLevel="0" collapsed="false">
      <c r="A1" s="26" t="s">
        <v>563</v>
      </c>
    </row>
    <row r="2" customFormat="false" ht="15" hidden="false" customHeight="false" outlineLevel="0" collapsed="false">
      <c r="A2" s="12" t="s">
        <v>564</v>
      </c>
    </row>
    <row r="4" customFormat="false" ht="15" hidden="false" customHeight="false" outlineLevel="0" collapsed="false">
      <c r="A4" s="1" t="s">
        <v>565</v>
      </c>
      <c r="B4" s="1" t="s">
        <v>0</v>
      </c>
      <c r="C4" s="1" t="s">
        <v>3</v>
      </c>
      <c r="D4" s="1" t="s">
        <v>566</v>
      </c>
      <c r="E4" s="1" t="s">
        <v>567</v>
      </c>
      <c r="F4" s="1" t="s">
        <v>568</v>
      </c>
    </row>
    <row r="5" customFormat="false" ht="45.75" hidden="false" customHeight="true" outlineLevel="0" collapsed="false">
      <c r="A5" s="2" t="n">
        <v>1</v>
      </c>
      <c r="B5" s="2" t="s">
        <v>14</v>
      </c>
      <c r="C5" s="27" t="s">
        <v>569</v>
      </c>
      <c r="D5" s="27" t="s">
        <v>570</v>
      </c>
      <c r="E5" s="27" t="s">
        <v>571</v>
      </c>
      <c r="F5" s="27" t="s">
        <v>572</v>
      </c>
    </row>
    <row r="6" customFormat="false" ht="45.75" hidden="false" customHeight="true" outlineLevel="0" collapsed="false">
      <c r="A6" s="2" t="n">
        <v>2</v>
      </c>
      <c r="B6" s="2" t="s">
        <v>46</v>
      </c>
      <c r="C6" s="27" t="s">
        <v>573</v>
      </c>
      <c r="D6" s="27" t="s">
        <v>574</v>
      </c>
      <c r="E6" s="27" t="s">
        <v>575</v>
      </c>
      <c r="F6" s="27" t="s">
        <v>576</v>
      </c>
    </row>
    <row r="7" customFormat="false" ht="45.75" hidden="false" customHeight="true" outlineLevel="0" collapsed="false">
      <c r="A7" s="2" t="n">
        <v>3</v>
      </c>
      <c r="B7" s="2" t="s">
        <v>68</v>
      </c>
      <c r="C7" s="27" t="s">
        <v>577</v>
      </c>
      <c r="D7" s="27" t="s">
        <v>578</v>
      </c>
      <c r="E7" s="27" t="s">
        <v>579</v>
      </c>
      <c r="F7" s="27" t="s">
        <v>580</v>
      </c>
    </row>
    <row r="8" customFormat="false" ht="45.75" hidden="false" customHeight="true" outlineLevel="0" collapsed="false">
      <c r="A8" s="2" t="n">
        <v>4</v>
      </c>
      <c r="B8" s="2" t="s">
        <v>52</v>
      </c>
      <c r="C8" s="27" t="s">
        <v>581</v>
      </c>
      <c r="D8" s="27" t="s">
        <v>582</v>
      </c>
      <c r="E8" s="27" t="s">
        <v>583</v>
      </c>
      <c r="F8" s="27" t="s">
        <v>584</v>
      </c>
    </row>
    <row r="9" customFormat="false" ht="45.75" hidden="false" customHeight="true" outlineLevel="0" collapsed="false">
      <c r="A9" s="2" t="n">
        <v>5</v>
      </c>
      <c r="B9" s="2" t="s">
        <v>63</v>
      </c>
      <c r="C9" s="27" t="s">
        <v>585</v>
      </c>
      <c r="D9" s="27" t="s">
        <v>586</v>
      </c>
      <c r="E9" s="27" t="s">
        <v>587</v>
      </c>
      <c r="F9" s="27" t="s">
        <v>588</v>
      </c>
    </row>
    <row r="10" customFormat="false" ht="45.75" hidden="false" customHeight="true" outlineLevel="0" collapsed="false">
      <c r="A10" s="2" t="n">
        <v>6</v>
      </c>
      <c r="B10" s="2" t="s">
        <v>58</v>
      </c>
      <c r="C10" s="27" t="s">
        <v>589</v>
      </c>
      <c r="D10" s="27" t="s">
        <v>590</v>
      </c>
      <c r="E10" s="27" t="s">
        <v>591</v>
      </c>
      <c r="F10" s="27" t="s">
        <v>592</v>
      </c>
    </row>
    <row r="11" customFormat="false" ht="45.75" hidden="false" customHeight="true" outlineLevel="0" collapsed="false">
      <c r="A11" s="2" t="n">
        <v>7</v>
      </c>
      <c r="B11" s="2" t="s">
        <v>105</v>
      </c>
      <c r="C11" s="27" t="s">
        <v>593</v>
      </c>
      <c r="D11" s="27" t="s">
        <v>594</v>
      </c>
      <c r="E11" s="27" t="s">
        <v>595</v>
      </c>
      <c r="F11" s="27" t="s">
        <v>596</v>
      </c>
    </row>
    <row r="12" customFormat="false" ht="45.75" hidden="false" customHeight="true" outlineLevel="0" collapsed="false">
      <c r="A12" s="2" t="n">
        <v>8</v>
      </c>
      <c r="B12" s="2" t="s">
        <v>25</v>
      </c>
      <c r="C12" s="27" t="s">
        <v>597</v>
      </c>
      <c r="D12" s="27" t="s">
        <v>598</v>
      </c>
      <c r="E12" s="27" t="s">
        <v>599</v>
      </c>
      <c r="F12" s="27" t="s">
        <v>600</v>
      </c>
    </row>
    <row r="13" customFormat="false" ht="45.75" hidden="false" customHeight="true" outlineLevel="0" collapsed="false">
      <c r="A13" s="2" t="n">
        <v>9</v>
      </c>
      <c r="B13" s="2" t="s">
        <v>39</v>
      </c>
      <c r="C13" s="27" t="s">
        <v>601</v>
      </c>
      <c r="D13" s="27" t="s">
        <v>602</v>
      </c>
      <c r="E13" s="27" t="s">
        <v>603</v>
      </c>
      <c r="F13" s="27" t="s">
        <v>604</v>
      </c>
    </row>
    <row r="14" customFormat="false" ht="45.75" hidden="false" customHeight="true" outlineLevel="0" collapsed="false">
      <c r="A14" s="2" t="n">
        <v>10</v>
      </c>
      <c r="B14" s="2" t="s">
        <v>189</v>
      </c>
      <c r="C14" s="27" t="s">
        <v>191</v>
      </c>
      <c r="D14" s="27" t="s">
        <v>605</v>
      </c>
      <c r="E14" s="27" t="s">
        <v>606</v>
      </c>
      <c r="F14" s="27" t="s">
        <v>607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16.15" hidden="false" customHeight="false" outlineLevel="0" collapsed="false">
      <c r="A1" s="26" t="s">
        <v>608</v>
      </c>
    </row>
    <row r="2" customFormat="false" ht="15" hidden="false" customHeight="false" outlineLevel="0" collapsed="false">
      <c r="A2" s="28"/>
      <c r="B2" s="29"/>
    </row>
    <row r="3" customFormat="false" ht="15" hidden="false" customHeight="false" outlineLevel="0" collapsed="false">
      <c r="A3" s="28" t="s">
        <v>609</v>
      </c>
      <c r="B3" s="29" t="s">
        <v>610</v>
      </c>
    </row>
    <row r="4" customFormat="false" ht="15" hidden="false" customHeight="false" outlineLevel="0" collapsed="false">
      <c r="A4" s="28"/>
      <c r="B4" s="29" t="s">
        <v>611</v>
      </c>
    </row>
    <row r="5" customFormat="false" ht="15" hidden="false" customHeight="false" outlineLevel="0" collapsed="false">
      <c r="A5" s="28"/>
      <c r="B5" s="29"/>
    </row>
    <row r="6" customFormat="false" ht="15" hidden="false" customHeight="false" outlineLevel="0" collapsed="false">
      <c r="A6" s="28" t="s">
        <v>612</v>
      </c>
      <c r="B6" s="29" t="s">
        <v>613</v>
      </c>
    </row>
    <row r="7" customFormat="false" ht="15" hidden="false" customHeight="false" outlineLevel="0" collapsed="false">
      <c r="A7" s="28"/>
      <c r="B7" s="29" t="s">
        <v>614</v>
      </c>
    </row>
    <row r="8" customFormat="false" ht="15" hidden="false" customHeight="false" outlineLevel="0" collapsed="false">
      <c r="A8" s="28"/>
      <c r="B8" s="29" t="s">
        <v>615</v>
      </c>
    </row>
    <row r="9" customFormat="false" ht="15" hidden="false" customHeight="false" outlineLevel="0" collapsed="false">
      <c r="A9" s="28"/>
      <c r="B9" s="29"/>
    </row>
    <row r="10" customFormat="false" ht="15" hidden="false" customHeight="false" outlineLevel="0" collapsed="false">
      <c r="A10" s="28" t="s">
        <v>1</v>
      </c>
      <c r="B10" s="29" t="s">
        <v>616</v>
      </c>
    </row>
    <row r="11" customFormat="false" ht="15" hidden="false" customHeight="false" outlineLevel="0" collapsed="false">
      <c r="A11" s="28"/>
      <c r="B11" s="29" t="s">
        <v>617</v>
      </c>
    </row>
    <row r="12" customFormat="false" ht="15" hidden="false" customHeight="false" outlineLevel="0" collapsed="false">
      <c r="A12" s="28"/>
      <c r="B12" s="29" t="s">
        <v>618</v>
      </c>
    </row>
    <row r="13" customFormat="false" ht="15" hidden="false" customHeight="false" outlineLevel="0" collapsed="false">
      <c r="A13" s="28"/>
      <c r="B13" s="29" t="s">
        <v>619</v>
      </c>
    </row>
    <row r="14" customFormat="false" ht="15" hidden="false" customHeight="false" outlineLevel="0" collapsed="false">
      <c r="A14" s="28"/>
      <c r="B14" s="29" t="s">
        <v>620</v>
      </c>
    </row>
    <row r="15" customFormat="false" ht="15" hidden="false" customHeight="false" outlineLevel="0" collapsed="false">
      <c r="A15" s="28"/>
      <c r="B15" s="29"/>
    </row>
    <row r="16" customFormat="false" ht="15" hidden="false" customHeight="false" outlineLevel="0" collapsed="false">
      <c r="A16" s="28" t="s">
        <v>8</v>
      </c>
      <c r="B16" s="29" t="s">
        <v>621</v>
      </c>
    </row>
    <row r="17" customFormat="false" ht="15" hidden="false" customHeight="false" outlineLevel="0" collapsed="false">
      <c r="A17" s="28"/>
      <c r="B17" s="29" t="s">
        <v>622</v>
      </c>
    </row>
    <row r="18" customFormat="false" ht="15" hidden="false" customHeight="false" outlineLevel="0" collapsed="false">
      <c r="A18" s="28"/>
      <c r="B18" s="29" t="s">
        <v>623</v>
      </c>
    </row>
    <row r="19" customFormat="false" ht="15" hidden="false" customHeight="false" outlineLevel="0" collapsed="false">
      <c r="A19" s="28"/>
      <c r="B19" s="29"/>
    </row>
    <row r="20" customFormat="false" ht="15" hidden="false" customHeight="false" outlineLevel="0" collapsed="false">
      <c r="A20" s="28" t="s">
        <v>624</v>
      </c>
      <c r="B20" s="29" t="s">
        <v>625</v>
      </c>
    </row>
    <row r="21" customFormat="false" ht="15" hidden="false" customHeight="false" outlineLevel="0" collapsed="false">
      <c r="A21" s="28"/>
      <c r="B21" s="29" t="s">
        <v>626</v>
      </c>
    </row>
    <row r="22" customFormat="false" ht="15" hidden="false" customHeight="false" outlineLevel="0" collapsed="false">
      <c r="A22" s="28"/>
      <c r="B22" s="29"/>
    </row>
    <row r="23" customFormat="false" ht="15" hidden="false" customHeight="false" outlineLevel="0" collapsed="false">
      <c r="A23" s="28" t="s">
        <v>627</v>
      </c>
      <c r="B23" s="29" t="s">
        <v>628</v>
      </c>
    </row>
    <row r="24" customFormat="false" ht="15" hidden="false" customHeight="false" outlineLevel="0" collapsed="false">
      <c r="A24" s="28"/>
      <c r="B24" s="29" t="s">
        <v>629</v>
      </c>
    </row>
    <row r="25" customFormat="false" ht="15" hidden="false" customHeight="false" outlineLevel="0" collapsed="false">
      <c r="A25" s="28"/>
      <c r="B25" s="29" t="s">
        <v>630</v>
      </c>
    </row>
    <row r="26" customFormat="false" ht="15" hidden="false" customHeight="false" outlineLevel="0" collapsed="false">
      <c r="A26" s="28"/>
      <c r="B26" s="29"/>
    </row>
    <row r="27" customFormat="false" ht="15" hidden="false" customHeight="false" outlineLevel="0" collapsed="false">
      <c r="A27" s="28" t="s">
        <v>631</v>
      </c>
      <c r="B27" s="29" t="s">
        <v>632</v>
      </c>
    </row>
    <row r="28" customFormat="false" ht="15" hidden="false" customHeight="false" outlineLevel="0" collapsed="false">
      <c r="A28" s="28"/>
      <c r="B28" s="29" t="s">
        <v>633</v>
      </c>
    </row>
    <row r="29" customFormat="false" ht="15" hidden="false" customHeight="false" outlineLevel="0" collapsed="false">
      <c r="A29" s="28"/>
      <c r="B29" s="29" t="s">
        <v>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2026-07-30T17:42:47Z</dcterms:created>
  <dc:creator>openpyxl</dc:creator>
  <dc:description/>
  <dc:language>en-US</dc:language>
  <cp:lastModifiedBy/>
  <dcterms:modified xsi:type="dcterms:W3CDTF">2026-07-30T17:42:47Z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